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Override PartName="/xl/drawings/drawing90.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645" yWindow="15" windowWidth="11625" windowHeight="8130" tabRatio="826" firstSheet="0" activeTab="0" autoFilterDateGrouping="1"/>
  </bookViews>
  <sheets>
    <sheet xmlns:r="http://schemas.openxmlformats.org/officeDocument/2006/relationships" name="Managementrapportage" sheetId="1" state="visible" r:id="rId1"/>
    <sheet xmlns:r="http://schemas.openxmlformats.org/officeDocument/2006/relationships" name="Invoer" sheetId="2" state="visible" r:id="rId2"/>
    <sheet xmlns:r="http://schemas.openxmlformats.org/officeDocument/2006/relationships" name="Handleiding" sheetId="3" state="visible" r:id="rId3"/>
    <sheet xmlns:r="http://schemas.openxmlformats.org/officeDocument/2006/relationships" name="PO" sheetId="4" state="visible" r:id="rId4"/>
    <sheet xmlns:r="http://schemas.openxmlformats.org/officeDocument/2006/relationships" name="TAO" sheetId="5" state="visible" r:id="rId5"/>
    <sheet xmlns:r="http://schemas.openxmlformats.org/officeDocument/2006/relationships" name="SAO" sheetId="6" state="visible" r:id="rId6"/>
    <sheet xmlns:r="http://schemas.openxmlformats.org/officeDocument/2006/relationships" name="Algemeen" sheetId="7" state="visible" r:id="rId7"/>
    <sheet xmlns:r="http://schemas.openxmlformats.org/officeDocument/2006/relationships" name="Overzicht" sheetId="8" state="visible" r:id="rId8"/>
    <sheet xmlns:r="http://schemas.openxmlformats.org/officeDocument/2006/relationships" name="Rapportdata" sheetId="9" state="visible" r:id="rId9"/>
  </sheets>
  <definedNames>
    <definedName name="decompositie">Algemeen!$L$18:$L$37</definedName>
    <definedName name="aantal_componenten">Algemeen!$M$16:$M$37</definedName>
    <definedName name="Aantal_fregatten">Algemeen!$O$3</definedName>
    <definedName name="Aantal_ini_wal">Algemeen!$BW$16:$BW$37</definedName>
    <definedName name="Aantal_install.">Algemeen!$O$4</definedName>
    <definedName name="Aantal_max_wal">Algemeen!$BX$16:$BX$37</definedName>
    <definedName name="Aantal_res_boord">Algemeen!$BV$16:$BV$37</definedName>
    <definedName name="Aantal_res_wal">Algemeen!$BY$16:$BY$37</definedName>
    <definedName name="bestel_interval">Algemeen!$CW$16:$CW$37</definedName>
    <definedName name="besteltijd">Algemeen!$BS$16:$BS$37</definedName>
    <definedName name="CO_rep">Algemeen!$Z$16:$Z$37</definedName>
    <definedName name="CO_rep_verv_tijd">Algemeen!$BP$16:$BP$37</definedName>
    <definedName name="CO_verv">Algemeen!$AA$16:$AA$37</definedName>
    <definedName name="CO_zoektijd">Algemeen!$BO$16:$BO$37</definedName>
    <definedName name="cumm_ONB_aanvang">Algemeen!$EG$16:$EG$37</definedName>
    <definedName name="cumm_ONB_missie">Algemeen!$DX$16:$DX$37</definedName>
    <definedName name="doorlooptijd_invlieg">Algemeen!$DF$16:$DF$37</definedName>
    <definedName name="doorlooptijd_missie">Algemeen!$DJ$16:$DJ$37</definedName>
    <definedName name="doorlooptijd_missie_i">Algemeen!$DI$16:$DI$37</definedName>
    <definedName name="doorlooptijd_missie_met">Algemeen!$DE$16:$DE$37</definedName>
    <definedName name="doorlooptijd_missie_rep">Algemeen!$DD$16:$DD$37</definedName>
    <definedName name="doorlooptijd_missie_verv">Algemeen!$DH$16:$DH$37</definedName>
    <definedName name="doorlooptijd_missie_zonder">Algemeen!$DG$16:$DG$37</definedName>
    <definedName name="Doorlooptijd_transport">Algemeen!$DN$16:$DN$37</definedName>
    <definedName name="doorlooptijd_van_wal">Algemeen!$DM$16:$DM$37</definedName>
    <definedName name="doorlooptijd_wal">Algemeen!$DR$16:$DR$37</definedName>
    <definedName name="doorlooptijd_wal_i">Algemeen!$DQ$16:$DQ$37</definedName>
    <definedName name="doorlooptijd_wal_rep">Algemeen!$DL$16:$DL$37</definedName>
    <definedName name="doorlooptijd_wal_verv">Algemeen!$DP$16:$DP$37</definedName>
    <definedName name="doorlooptijd_wal_zonder">Algemeen!$DO$16:$DO$37</definedName>
    <definedName name="efAantFunc1">Algemeen!$L$13</definedName>
    <definedName name="efAantFunc2">Algemeen!$EU$12</definedName>
    <definedName name="einde_regels">Algemeen!$A$37</definedName>
    <definedName name="f_vast">Algemeen!$AW$16:$AW$37</definedName>
    <definedName name="functie_1">Algemeen!$EU$16:$EU$37</definedName>
    <definedName name="functie_10">Algemeen!$FD$16:$FD$37</definedName>
    <definedName name="functie_2">Algemeen!$EV$16:$EV$37</definedName>
    <definedName name="functie_3">Algemeen!$EW$16:$EW$37</definedName>
    <definedName name="functie_4">Algemeen!$EX$16:$EX$37</definedName>
    <definedName name="functie_5">Algemeen!$EY$16:$EY$37</definedName>
    <definedName name="functie_6">Algemeen!$EZ$16:$EZ$37</definedName>
    <definedName name="functie_7">Algemeen!$FA$16:$FA$37</definedName>
    <definedName name="functie_8">Algemeen!$FB$16:$FB$37</definedName>
    <definedName name="functie_9">Algemeen!$FC$16:$FC$37</definedName>
    <definedName name="gevolg_kosten">Algemeen!$BK$16:$BK$37</definedName>
    <definedName name="Gevolg_kosten_tradeoff">Algemeen!$BI$16:$BI$37</definedName>
    <definedName name="Gevolgkosten">Algemeen!$BI$16:$BI$37</definedName>
    <definedName name="ini_periode">Algemeen!$CV$16:$CV$37</definedName>
    <definedName name="interval_groot_onderhoud">Algemeen!$R$10</definedName>
    <definedName name="Invoerrij">Algemeen!$A$16</definedName>
    <definedName name="kol_delta_kosten">Algemeen!$EN$11</definedName>
    <definedName name="kol_delta_ONB_aanvang">Algemeen!$EP$11</definedName>
    <definedName name="kol_delta_ONB_missie">Algemeen!$EO$11</definedName>
    <definedName name="kol_delta_stfrf">Algemeen!$EM$11</definedName>
    <definedName name="kol_OH_kosten">Algemeen!$AY$11</definedName>
    <definedName name="kol_ONB_aanvang">Algemeen!$EG$11</definedName>
    <definedName name="kol_ONB_missie">Algemeen!$DX$11</definedName>
    <definedName name="kol_opmerkingen">Algemeen!$EI$11</definedName>
    <definedName name="Kosten_res_jaar">Algemeen!$BC$16:$BC$37</definedName>
    <definedName name="Kosten_res_pk">Algemeen!$BA$16:$BA$37</definedName>
    <definedName name="Kosten_res_totaal">Algemeen!$BG$16:$BG$37</definedName>
    <definedName name="Kosten_res_trade">Algemeen!$BE$16:$BE$37</definedName>
    <definedName name="lambda">Algemeen!$CJ$16:$CJ$37</definedName>
    <definedName name="lambda_fabrikant">Algemeen!$CA$16:$CA$37</definedName>
    <definedName name="lambda_functie">Algemeen!$CM$16:$CM$37</definedName>
    <definedName name="lambda_functie_1">Algemeen!$FG$16:$FG$37</definedName>
    <definedName name="lambda_functie_10">Algemeen!$HR$16:$HR$37</definedName>
    <definedName name="lambda_functie_2">Algemeen!$FN$16:$FN$37</definedName>
    <definedName name="lambda_functie_3">Algemeen!$FU$16:$FU$37</definedName>
    <definedName name="lambda_functie_4">Algemeen!$GB$16:$GB$37</definedName>
    <definedName name="lambda_functie_5">Algemeen!$GI$16:$GI$37</definedName>
    <definedName name="lambda_functie_6">Algemeen!$GP$16:$GP$37</definedName>
    <definedName name="lambda_functie_7">Algemeen!$GW$16:$GW$37</definedName>
    <definedName name="lambda_functie_8">Algemeen!$HD$16:$HD$37</definedName>
    <definedName name="lambda_functie_9">Algemeen!$HK$16:$HK$37</definedName>
    <definedName name="lambda_functie_kalendertijd">Algemeen!$CN$16:$CN$37</definedName>
    <definedName name="lambda_functie_wal">Algemeen!$CO$16:$CO$37</definedName>
    <definedName name="lambda_functie_wal_kalendertijd">Algemeen!$CP$16:$CP$37</definedName>
    <definedName name="lambda_kalendertijd">Algemeen!$CF$16:$CF$37</definedName>
    <definedName name="lambda_missie">Algemeen!$CH$16:$CH$37</definedName>
    <definedName name="lambda_missie_g">Algemeen!$CD$16:$CD$37</definedName>
    <definedName name="lambda_wal">Algemeen!$CI$16:$CI$37</definedName>
    <definedName name="lambda_wal_g">Algemeen!$CE$16:$CE$37</definedName>
    <definedName name="lamda_functie_wal_kalendertijd">Algemeen!$CP$16:$CP$37</definedName>
    <definedName name="Lijst_componenten">Algemeen!$L$16:$L$37</definedName>
    <definedName name="Looptijd">Algemeen!$O$8</definedName>
    <definedName name="m_componenten_lambda">Algemeen!$CK$16:$CK$37</definedName>
    <definedName name="m_schip">Algemeen!$CR$16:$CR$37</definedName>
    <definedName name="m_vloot">Algemeen!$CU$16:$CU$37</definedName>
    <definedName name="Missieduur">Algemeen!$R$6</definedName>
    <definedName name="missiepercentage">Algemeen!$CG$16:$CG$37</definedName>
    <definedName name="Missies_per_jaar">Algemeen!$O$5</definedName>
    <definedName name="OH_kosten">Algemeen!$AY$16:$AY$37</definedName>
    <definedName name="ONB_aanvang">Algemeen!$DZ$16:$DZ$37</definedName>
    <definedName name="ONB_aanvang_1">Algemeen!$FK$16:$FK$37</definedName>
    <definedName name="ONB_aanvang_10">Algemeen!$HV$16:$HV$37</definedName>
    <definedName name="ONB_aanvang_2">Algemeen!$FR$16:$FR$37</definedName>
    <definedName name="onb_aanvang_3">Algemeen!$FY$16:$FY$37</definedName>
    <definedName name="ONB_aanvang_4">Algemeen!$GF$16:$GF$37</definedName>
    <definedName name="ONB_aanvang_5">Algemeen!$GM$16:$GM$37</definedName>
    <definedName name="ONB_aanvang_6">Algemeen!$GT$16:$GT$37</definedName>
    <definedName name="ONB_aanvang_7">Algemeen!$HA$16:$HA$37</definedName>
    <definedName name="ONB_aanvang_8">Algemeen!$HH$16:$HH$37</definedName>
    <definedName name="ONB_aanvang_9">Algemeen!$HO$16:$HO$37</definedName>
    <definedName name="ONB_missie">Algemeen!$DT$16:$DT$37</definedName>
    <definedName name="ONB_missie_1">Algemeen!$FI$16:$FI$37</definedName>
    <definedName name="ONB_missie_10">Algemeen!$HT$16:$HT$37</definedName>
    <definedName name="ONB_missie_2">Algemeen!$FP$16:$FP$37</definedName>
    <definedName name="onb_missie_3">Algemeen!$FW$16:$FW$37</definedName>
    <definedName name="ONB_missie_4">Algemeen!$GD$16:$GD$37</definedName>
    <definedName name="ONB_missie_5">Algemeen!$GK$16:$GK$37</definedName>
    <definedName name="ONB_missie_6">Algemeen!$GR$16:$GR$37</definedName>
    <definedName name="ONB_missie_7">Algemeen!$GY$16:$GY$37</definedName>
    <definedName name="ONB_missie_8">Algemeen!$HF$16:$HF$37</definedName>
    <definedName name="ONB_missie_9">Algemeen!$HM$16:$HM$37</definedName>
    <definedName name="ONB_missie_tussenberekening_1">Algemeen!$DU$16:$DU$37</definedName>
    <definedName name="ONB_missie_tussenberekening_2">Algemeen!$DV$16:$DV$37</definedName>
    <definedName name="ONB_tussenberekening_1">Algemeen!$EA$16:$EA$37</definedName>
    <definedName name="ONB_tussenberekening_2">Algemeen!$EB$16:$EB$37</definedName>
    <definedName name="ONB_tussenberekening_3">Algemeen!$EC$16:$EC$37</definedName>
    <definedName name="ONB_tussenberekening_4">Algemeen!$ED$16:$ED$37</definedName>
    <definedName name="ONB_tussenberekening_5">Algemeen!$EE$16:$EE$37</definedName>
    <definedName name="ONV_aanvang_1">Algemeen!$FK$16:$FK$37</definedName>
    <definedName name="Opmerkingen">Algemeen!$EI$16:$EI$37</definedName>
    <definedName name="p_gebruik_missie">Algemeen!$CB$16:$CB$37</definedName>
    <definedName name="p_gebruik_wal">Algemeen!$CC$16:$CC$37</definedName>
    <definedName name="P_op_boord">Algemeen!$CS$16:$CS$37</definedName>
    <definedName name="P_op_vloot">Algemeen!$CY$16:$CY$37</definedName>
    <definedName name="P_op_wal">Algemeen!$CZ$16:$CZ$37</definedName>
    <definedName name="percentage_looptijd_inbestelling">Algemeen!$CX$16:$CX$37</definedName>
    <definedName name="Perio_int">Algemeen!$AJ$16:$AJ$37</definedName>
    <definedName name="Periodiciteit">Algemeen!$AI$16:$AI$37</definedName>
    <definedName name="PO_doorlooptijd">Algemeen!$BM$16:$BM$37</definedName>
    <definedName name="PO_inspectie_meting">Algemeen!$Q$16:$Q$37</definedName>
    <definedName name="PO_inspectie_visueel">Algemeen!$P$16:$P$37</definedName>
    <definedName name="PO_preservering">Algemeen!$R$16:$R$37</definedName>
    <definedName name="PO_revisie">Algemeen!$S$16:$S$37</definedName>
    <definedName name="PO_testen">Algemeen!$U$16:$U$37</definedName>
    <definedName name="PO_vervanging">Algemeen!$T$16:$T$37</definedName>
    <definedName name="printarea">Algemeen!$A$1:$FR$16</definedName>
    <definedName name="Redundantie">Algemeen!$N$16:$N$37</definedName>
    <definedName name="redundantie_factor">Algemeen!$CL$16:$CL$37</definedName>
    <definedName name="Rij_invoer">Algemeen!$A$15</definedName>
    <definedName name="storingfreq_1">Algemeen!$FF$16:$FF$37</definedName>
    <definedName name="storingfreq_10">Algemeen!$HQ$16:$HQ$37</definedName>
    <definedName name="storingfreq_2">Algemeen!$FM$16:$FM$37</definedName>
    <definedName name="storingfreq_3">Algemeen!$FT$16:$FT$37</definedName>
    <definedName name="storingfreq_4">Algemeen!$GA$16:$GA$37</definedName>
    <definedName name="storingfreq_5">Algemeen!$GH$16:$GH$37</definedName>
    <definedName name="storingfreq_6">Algemeen!$GO$16:$GO$37</definedName>
    <definedName name="storingfreq_7">Algemeen!$GV$16:$GV$37</definedName>
    <definedName name="storingfreq_8">Algemeen!$HC$16:$HC$37</definedName>
    <definedName name="storingfreq_9">Algemeen!$HJ$16:$HJ$37</definedName>
    <definedName name="TAO_rev_verv.tijd">Algemeen!$BN$16:$BN$37</definedName>
    <definedName name="TAO_rev_verv_tijd">Algemeen!$BN$16:$BN$37</definedName>
    <definedName name="TAO_revisie">Algemeen!$W$16:$W$37</definedName>
    <definedName name="TAO_vervanging">Algemeen!$X$16:$X$37</definedName>
    <definedName name="tijd_3">Algemeen!$AU$16:$AU$37</definedName>
    <definedName name="tijd_d">Algemeen!$AT$16:$AT$37</definedName>
    <definedName name="tijd_rw">Algemeen!$AS$16:$AS$37</definedName>
    <definedName name="tijd_sb">Algemeen!$AR$16:$AR$37</definedName>
    <definedName name="tijd_td">Algemeen!$AQ$16:$AQ$37</definedName>
    <definedName name="tijd_wd">Algemeen!$AP$16:$AP$37</definedName>
    <definedName name="tot_OH">Algemeen!$AX$9</definedName>
    <definedName name="tot_OH_gevolg">Algemeen!$BK$9</definedName>
    <definedName name="tot_ONB_aanvang">Algemeen!$DZ$9</definedName>
    <definedName name="tot_ONB_aanvang_1">Algemeen!$FK$9</definedName>
    <definedName name="tot_ONB_aanvang_10">Algemeen!$HV$9</definedName>
    <definedName name="tot_ONB_aanvang_2">Algemeen!$FR$9</definedName>
    <definedName name="tot_ONB_aanvang_3">Algemeen!$FY$9</definedName>
    <definedName name="tot_ONB_aanvang_4">Algemeen!$GF$9</definedName>
    <definedName name="tot_ONB_aanvang_5">Algemeen!$GM$9</definedName>
    <definedName name="tot_ONB_aanvang_6">Algemeen!$GT$9</definedName>
    <definedName name="tot_ONB_aanvang_7">Algemeen!$HA$9</definedName>
    <definedName name="tot_ONB_aanvang_8">Algemeen!$HH$9</definedName>
    <definedName name="tot_ONB_aanvang_9">Algemeen!$HO$9</definedName>
    <definedName name="tot_ONB_missie">Algemeen!$DT$9</definedName>
    <definedName name="tot_ONB_missie_1">Algemeen!$FI$9</definedName>
    <definedName name="tot_ONB_missie_10">Algemeen!$HT$9</definedName>
    <definedName name="tot_ONB_missie_2">Algemeen!$FP$9</definedName>
    <definedName name="tot_ONB_missie_3">Algemeen!$FW$9</definedName>
    <definedName name="tot_ONB_missie_4">Algemeen!$GD$9</definedName>
    <definedName name="tot_ONB_missie_5">Algemeen!$GK$9</definedName>
    <definedName name="tot_ONB_missie_6">Algemeen!$GR$9</definedName>
    <definedName name="tot_ONB_missie_7">Algemeen!$GY$9</definedName>
    <definedName name="tot_ONB_missie_8">Algemeen!$HF$9</definedName>
    <definedName name="tot_ONB_missie_9">Algemeen!$HM$9</definedName>
    <definedName name="tot_resdel_kosten">Algemeen!$BC$9</definedName>
    <definedName name="tot_storing_1">Algemeen!$FF$9</definedName>
    <definedName name="tot_storing_10">Algemeen!$HQ$9</definedName>
    <definedName name="tot_storing_2">Algemeen!$FM$9</definedName>
    <definedName name="tot_storing_3">Algemeen!$FT$9</definedName>
    <definedName name="tot_storing_4">Algemeen!$GA$9</definedName>
    <definedName name="tot_storing_5">Algemeen!$GH$9</definedName>
    <definedName name="tot_storing_6">Algemeen!$GO$9</definedName>
    <definedName name="tot_storing_7">Algemeen!$GV$9</definedName>
    <definedName name="tot_storing_8">Algemeen!$HC$9</definedName>
    <definedName name="tot_storing_9">Algemeen!$HJ$9</definedName>
    <definedName name="tot_storing_missie_1">Algemeen!$FG$9</definedName>
    <definedName name="tot_storing_missie_10">Algemeen!$HR$9</definedName>
    <definedName name="tot_storing_missie_2">Algemeen!$FN$9</definedName>
    <definedName name="tot_storing_missie_3">Algemeen!$FU$9</definedName>
    <definedName name="tot_storing_missie_4">Algemeen!$GB$9</definedName>
    <definedName name="tot_storing_missie_5">Algemeen!$GI$9</definedName>
    <definedName name="tot_storing_missie_6">Algemeen!$GP$9</definedName>
    <definedName name="tot_storing_missie_7">Algemeen!$GW$9</definedName>
    <definedName name="tot_storing_missie_8">Algemeen!$HD$9</definedName>
    <definedName name="tot_storing_missie_9">Algemeen!$HK$9</definedName>
    <definedName name="tot_storingsfreq">Algemeen!$CF$9</definedName>
    <definedName name="tot_storingsfrequentie_missie">Algemeen!$CL$9</definedName>
    <definedName name="uitvoeren_bedrijf">Algemeen!$AM$16:$AM$37</definedName>
    <definedName name="uitvoeren_GO">Algemeen!$AN$16:$AN$37</definedName>
    <definedName name="Uitvoeren_missie">Algemeen!$AL$16:$AL$37</definedName>
    <definedName name="_ut3">PO!$AJ$5</definedName>
    <definedName name="utd">PO!$AI$5</definedName>
    <definedName name="utrw">PO!$AH$5</definedName>
    <definedName name="utsb">PO!$AG$5</definedName>
    <definedName name="uttd">PO!$AF$5</definedName>
    <definedName name="utwd">PO!$AE$5</definedName>
    <definedName name="uurtarief_3">Algemeen!$AU$14</definedName>
    <definedName name="uurtarief_d">Algemeen!$AT$14</definedName>
    <definedName name="uurtarief_rw">Algemeen!$AS$14</definedName>
    <definedName name="uurtarief_sb">Algemeen!$AR$14</definedName>
    <definedName name="uurtarief_td">Algemeen!$AQ$14</definedName>
    <definedName name="uurtarief_wd">Algemeen!$AP$14</definedName>
    <definedName name="wachttijd_invlieg">Algemeen!$BR$16:$BR$37</definedName>
    <definedName name="wachttijd_wal">Algemeen!$BT$16:$BT$37</definedName>
    <definedName name="walduur">Algemeen!$R$7</definedName>
    <definedName name="_xlnm.Print_Area" localSheetId="0">'Managementrapportage'!$A$1:$U$60</definedName>
    <definedName name="_xlnm._FilterDatabase" localSheetId="1" hidden="1">'Invoer'!$A$37:$BE$57</definedName>
    <definedName name="_xlnm.Print_Titles" localSheetId="2">'Handleiding'!$1:$6</definedName>
    <definedName name="_xlnm.Print_Titles" localSheetId="3">'PO'!$1:$6</definedName>
    <definedName name="_xlnm.Print_Titles" localSheetId="4">'TAO'!$1:$6</definedName>
    <definedName name="_xlnm.Print_Area" localSheetId="8">'Rapportdata'!$B$1:$G$109</definedName>
  </definedNames>
  <calcPr calcId="125725" fullCalcOnLoad="1"/>
</workbook>
</file>

<file path=xl/styles.xml><?xml version="1.0" encoding="utf-8"?>
<styleSheet xmlns="http://schemas.openxmlformats.org/spreadsheetml/2006/main">
  <numFmts count="13">
    <numFmt numFmtId="164" formatCode="0.0"/>
    <numFmt numFmtId="165" formatCode="dd-mm-yyyy"/>
    <numFmt numFmtId="166" formatCode="€ #,##0"/>
    <numFmt numFmtId="167" formatCode="0.0%"/>
    <numFmt numFmtId="168" formatCode="0.000000"/>
    <numFmt numFmtId="169" formatCode="0.####"/>
    <numFmt numFmtId="170" formatCode="0.##"/>
    <numFmt numFmtId="171" formatCode="€ #,##0.00"/>
    <numFmt numFmtId="172" formatCode="0.######;-0.######;;@"/>
    <numFmt numFmtId="173" formatCode="0;-0;;@"/>
    <numFmt numFmtId="174" formatCode="0.00%;-0.00%;;@"/>
    <numFmt numFmtId="175" formatCode="0.0;-0.0;;@"/>
    <numFmt numFmtId="176" formatCode="0.00;-0.00;;@"/>
  </numFmts>
  <fonts count="47">
    <font>
      <name val="Arial"/>
      <sz val="10"/>
    </font>
    <font>
      <name val="Arial"/>
      <b val="1"/>
      <sz val="10"/>
    </font>
    <font>
      <name val="Arial"/>
      <sz val="10"/>
    </font>
    <font>
      <name val="Arial"/>
      <family val="2"/>
      <b val="1"/>
      <sz val="8"/>
    </font>
    <font>
      <name val="Arial"/>
      <family val="2"/>
      <sz val="7"/>
    </font>
    <font>
      <name val="Arial"/>
      <sz val="7"/>
    </font>
    <font>
      <name val="Arial"/>
      <b val="1"/>
      <sz val="7"/>
    </font>
    <font>
      <name val="Arial"/>
      <family val="2"/>
      <b val="1"/>
      <sz val="7"/>
    </font>
    <font>
      <name val="Arial"/>
      <family val="2"/>
      <b val="1"/>
      <sz val="10"/>
    </font>
    <font>
      <name val="Arial"/>
      <family val="2"/>
      <color indexed="10"/>
      <sz val="10"/>
    </font>
    <font>
      <name val="Arial"/>
      <family val="2"/>
      <b val="1"/>
      <sz val="16"/>
    </font>
    <font>
      <name val="Arial"/>
      <family val="2"/>
      <sz val="2"/>
    </font>
    <font>
      <name val="Arial"/>
      <family val="2"/>
      <b val="1"/>
      <color indexed="8"/>
      <sz val="12"/>
    </font>
    <font>
      <name val="Arial"/>
      <family val="2"/>
      <color indexed="8"/>
      <sz val="7"/>
    </font>
    <font>
      <name val="Arial"/>
      <b val="1"/>
      <color indexed="8"/>
      <sz val="12"/>
    </font>
    <font>
      <name val="Arial"/>
      <color indexed="8"/>
      <sz val="4"/>
    </font>
    <font>
      <name val="Arial"/>
      <family val="2"/>
      <color indexed="8"/>
      <sz val="4"/>
    </font>
    <font>
      <name val="Arial"/>
      <family val="2"/>
      <b val="1"/>
      <sz val="9"/>
    </font>
    <font>
      <name val="Arial"/>
      <family val="2"/>
      <color indexed="61"/>
      <sz val="10"/>
    </font>
    <font>
      <name val="Arial"/>
      <family val="2"/>
      <color indexed="12"/>
      <sz val="10"/>
    </font>
    <font>
      <name val="Arial"/>
      <family val="2"/>
      <sz val="6"/>
    </font>
    <font>
      <name val="Arial"/>
      <family val="2"/>
      <sz val="9"/>
    </font>
    <font>
      <name val="Tahoma"/>
      <color indexed="81"/>
      <sz val="8"/>
    </font>
    <font>
      <name val="Arial"/>
      <b val="1"/>
      <color rgb="FF1F3864"/>
      <sz val="15"/>
    </font>
    <font>
      <name val="Arial"/>
      <b val="1"/>
      <color rgb="FF1F3864"/>
      <sz val="11"/>
    </font>
    <font>
      <name val="Arial"/>
      <sz val="10"/>
    </font>
    <font>
      <name val="Calibri"/>
      <b val="1"/>
      <color rgb="001F3864"/>
      <sz val="14"/>
    </font>
    <font>
      <name val="Calibri"/>
      <i val="1"/>
      <color rgb="0052514E"/>
      <sz val="9"/>
    </font>
    <font>
      <name val="Calibri"/>
      <b val="1"/>
      <color rgb="001F3864"/>
      <sz val="11"/>
    </font>
    <font>
      <name val="Calibri"/>
      <b val="1"/>
      <color rgb="00FFFFFF"/>
      <sz val="9"/>
    </font>
    <font>
      <name val="Calibri"/>
      <color rgb="000B0B0B"/>
      <sz val="10"/>
    </font>
    <font>
      <name val="Calibri"/>
      <b val="1"/>
      <color rgb="000B0B0B"/>
      <sz val="10"/>
    </font>
    <font>
      <name val="Calibri"/>
      <color rgb="0052514E"/>
      <sz val="9"/>
    </font>
    <font>
      <name val="Calibri"/>
      <color rgb="000B0B0B"/>
      <sz val="9"/>
    </font>
    <font>
      <name val="Calibri"/>
      <b val="1"/>
      <color rgb="0052514E"/>
      <sz val="9"/>
    </font>
    <font>
      <name val="Calibri"/>
      <b val="1"/>
      <color rgb="000B0B0B"/>
      <sz val="9"/>
    </font>
    <font>
      <name val="Calibri"/>
      <i val="1"/>
      <color rgb="0052514E"/>
      <sz val="8"/>
    </font>
    <font>
      <name val="Calibri"/>
      <b val="1"/>
      <color rgb="00FFFFFF"/>
      <sz val="20"/>
    </font>
    <font>
      <name val="Calibri"/>
      <b val="1"/>
      <color rgb="001F3864"/>
      <sz val="20"/>
    </font>
    <font>
      <name val="Calibri"/>
      <color rgb="0052514E"/>
      <sz val="8"/>
    </font>
    <font>
      <name val="Calibri"/>
      <b val="1"/>
      <color rgb="001F3864"/>
      <sz val="12"/>
    </font>
    <font>
      <name val="Calibri"/>
      <b val="1"/>
      <color rgb="001F3864"/>
      <sz val="18"/>
    </font>
    <font>
      <name val="Calibri"/>
      <i val="1"/>
      <color rgb="0052514E"/>
      <sz val="10"/>
    </font>
    <font>
      <name val="Calibri"/>
      <color rgb="0052514E"/>
      <sz val="10"/>
    </font>
    <font>
      <name val="Calibri"/>
      <b val="1"/>
      <color rgb="001F3864"/>
      <sz val="9"/>
    </font>
    <font>
      <name val="Calibri"/>
      <b val="1"/>
      <color rgb="00FFFFFF"/>
      <sz val="8.5"/>
    </font>
    <font>
      <name val="Calibri"/>
      <b val="1"/>
      <color rgb="001F3864"/>
      <sz val="15"/>
    </font>
  </fonts>
  <fills count="24">
    <fill>
      <patternFill/>
    </fill>
    <fill>
      <patternFill patternType="gray125"/>
    </fill>
    <fill>
      <patternFill patternType="solid">
        <fgColor indexed="43"/>
        <bgColor indexed="64"/>
      </patternFill>
    </fill>
    <fill>
      <patternFill patternType="solid">
        <fgColor indexed="44"/>
        <bgColor indexed="64"/>
      </patternFill>
    </fill>
    <fill>
      <patternFill patternType="solid">
        <fgColor indexed="45"/>
        <bgColor indexed="64"/>
      </patternFill>
    </fill>
    <fill>
      <patternFill patternType="solid">
        <fgColor indexed="9"/>
        <bgColor indexed="64"/>
      </patternFill>
    </fill>
    <fill>
      <patternFill patternType="solid">
        <fgColor indexed="8"/>
        <bgColor indexed="64"/>
      </patternFill>
    </fill>
    <fill>
      <patternFill patternType="solid">
        <fgColor indexed="41"/>
        <bgColor indexed="64"/>
      </patternFill>
    </fill>
    <fill>
      <patternFill patternType="solid">
        <fgColor indexed="15"/>
        <bgColor indexed="64"/>
      </patternFill>
    </fill>
    <fill>
      <patternFill patternType="solid">
        <fgColor indexed="42"/>
        <bgColor indexed="64"/>
      </patternFill>
    </fill>
    <fill>
      <patternFill patternType="solid">
        <fgColor indexed="11"/>
        <bgColor indexed="64"/>
      </patternFill>
    </fill>
    <fill>
      <patternFill patternType="solid">
        <fgColor indexed="50"/>
        <bgColor indexed="64"/>
      </patternFill>
    </fill>
    <fill>
      <patternFill patternType="solid">
        <fgColor rgb="001F3864"/>
      </patternFill>
    </fill>
    <fill>
      <patternFill patternType="solid">
        <fgColor rgb="00F2F5FA"/>
      </patternFill>
    </fill>
    <fill>
      <patternFill patternType="solid">
        <fgColor rgb="00FFFFFF"/>
      </patternFill>
    </fill>
    <fill>
      <patternFill patternType="solid">
        <fgColor rgb="00D9E1F2"/>
      </patternFill>
    </fill>
    <fill>
      <patternFill patternType="solid">
        <fgColor rgb="00DCE6F1"/>
      </patternFill>
    </fill>
    <fill>
      <patternFill patternType="solid">
        <fgColor rgb="00E2EFDA"/>
      </patternFill>
    </fill>
    <fill>
      <patternFill patternType="solid">
        <fgColor rgb="00FFF2CC"/>
      </patternFill>
    </fill>
    <fill>
      <patternFill patternType="solid">
        <fgColor rgb="00FCE4D6"/>
      </patternFill>
    </fill>
    <fill>
      <patternFill patternType="solid">
        <fgColor rgb="00E4DFEC"/>
      </patternFill>
    </fill>
    <fill>
      <patternFill patternType="solid">
        <fgColor rgb="00DDEBF7"/>
      </patternFill>
    </fill>
    <fill>
      <patternFill patternType="solid">
        <fgColor rgb="00EDEDED"/>
      </patternFill>
    </fill>
    <fill>
      <patternFill patternType="solid">
        <fgColor rgb="00F2F2F2"/>
      </patternFill>
    </fill>
  </fills>
  <borders count="67">
    <border>
      <left/>
      <right/>
      <top/>
      <bottom/>
      <diagonal/>
    </border>
    <border>
      <left/>
      <right/>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rgb="00BFBFBF"/>
      </left>
      <right style="thin">
        <color rgb="00BFBFBF"/>
      </right>
      <top style="thin">
        <color rgb="00BFBFBF"/>
      </top>
      <bottom style="thin">
        <color rgb="00BFBFBF"/>
      </bottom>
    </border>
    <border>
      <top style="thin">
        <color rgb="001F3864"/>
      </top>
    </border>
    <border>
      <left style="thin">
        <color rgb="00BFBFBF"/>
      </left>
      <top style="medium">
        <color rgb="002A78D6"/>
      </top>
    </border>
    <border>
      <top style="medium">
        <color rgb="002A78D6"/>
      </top>
    </border>
    <border>
      <right style="thin">
        <color rgb="00BFBFBF"/>
      </right>
      <top style="medium">
        <color rgb="002A78D6"/>
      </top>
    </border>
    <border>
      <left style="thin">
        <color rgb="00BFBFBF"/>
      </left>
    </border>
    <border/>
    <border>
      <right style="thin">
        <color rgb="00BFBFBF"/>
      </right>
    </border>
    <border>
      <left style="thin">
        <color rgb="00BFBFBF"/>
      </left>
      <bottom style="thin">
        <color rgb="00BFBFBF"/>
      </bottom>
    </border>
    <border>
      <bottom style="thin">
        <color rgb="00BFBFBF"/>
      </bottom>
    </border>
    <border>
      <right style="thin">
        <color rgb="00BFBFBF"/>
      </right>
      <bottom style="thin">
        <color rgb="00BFBFBF"/>
      </bottom>
    </border>
    <border>
      <bottom style="hair">
        <color rgb="00BFBFBF"/>
      </bottom>
    </border>
    <border>
      <left/>
      <right/>
      <top/>
      <bottom style="hair">
        <color rgb="00BFBFBF"/>
      </bottom>
      <diagonal/>
    </border>
    <border>
      <left style="thin">
        <color rgb="00BFBFBF"/>
      </left>
      <right style="thin">
        <color rgb="00BFBFBF"/>
      </right>
      <top style="medium">
        <color rgb="002A78D6"/>
      </top>
    </border>
    <border>
      <left/>
      <right/>
      <top style="medium">
        <color rgb="002A78D6"/>
      </top>
      <bottom/>
      <diagonal/>
    </border>
    <border>
      <left/>
      <right style="thin">
        <color rgb="00BFBFBF"/>
      </right>
      <top style="medium">
        <color rgb="002A78D6"/>
      </top>
      <bottom/>
      <diagonal/>
    </border>
    <border>
      <left style="thin">
        <color rgb="00BFBFBF"/>
      </left>
      <right style="thin">
        <color rgb="00BFBFBF"/>
      </right>
      <bottom style="thin">
        <color rgb="00BFBFBF"/>
      </bottom>
    </border>
    <border>
      <left/>
      <right style="thin">
        <color rgb="00BFBFBF"/>
      </right>
      <top/>
      <bottom/>
      <diagonal/>
    </border>
    <border>
      <left/>
      <right/>
      <top/>
      <bottom style="thin">
        <color rgb="00BFBFBF"/>
      </bottom>
      <diagonal/>
    </border>
    <border>
      <left/>
      <right style="thin">
        <color rgb="00BFBFBF"/>
      </right>
      <top/>
      <bottom style="thin">
        <color rgb="00BFBFBF"/>
      </bottom>
      <diagonal/>
    </border>
    <border>
      <left style="thin">
        <color rgb="00BFBFBF"/>
      </left>
      <right style="thin">
        <color rgb="00BFBFBF"/>
      </right>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hair">
        <color rgb="00D9D9D9"/>
      </left>
      <right style="hair">
        <color rgb="00D9D9D9"/>
      </right>
      <top style="hair">
        <color rgb="00D9D9D9"/>
      </top>
      <bottom style="hair">
        <color rgb="00D9D9D9"/>
      </bottom>
    </border>
  </borders>
  <cellStyleXfs count="2">
    <xf numFmtId="0" fontId="25" fillId="0" borderId="0"/>
    <xf numFmtId="9" fontId="25" fillId="0" borderId="0"/>
  </cellStyleXfs>
  <cellXfs count="685">
    <xf numFmtId="0" fontId="0" fillId="0" borderId="0" pivotButton="0" quotePrefix="0" xfId="0"/>
    <xf numFmtId="0" fontId="8" fillId="0" borderId="0" pivotButton="0" quotePrefix="0" xfId="0"/>
    <xf numFmtId="0" fontId="0" fillId="0" borderId="1" pivotButton="0" quotePrefix="0" xfId="0"/>
    <xf numFmtId="0" fontId="0" fillId="0" borderId="0" pivotButton="0" quotePrefix="0" xfId="0"/>
    <xf numFmtId="0" fontId="0" fillId="0" borderId="0" pivotButton="0" quotePrefix="0" xfId="0"/>
    <xf numFmtId="0" fontId="0" fillId="0" borderId="0" pivotButton="0" quotePrefix="0" xfId="0"/>
    <xf numFmtId="2" fontId="0" fillId="0" borderId="0" pivotButton="0" quotePrefix="0" xfId="0"/>
    <xf numFmtId="0" fontId="0" fillId="0" borderId="2" pivotButton="0" quotePrefix="0" xfId="0"/>
    <xf numFmtId="0" fontId="0" fillId="0" borderId="3" pivotButton="0" quotePrefix="0" xfId="0"/>
    <xf numFmtId="0" fontId="0" fillId="0" borderId="4" pivotButton="0" quotePrefix="0" xfId="0"/>
    <xf numFmtId="0" fontId="8" fillId="0" borderId="0" applyAlignment="1" pivotButton="0" quotePrefix="0" xfId="0">
      <alignment horizontal="right"/>
    </xf>
    <xf numFmtId="0" fontId="8" fillId="2" borderId="5" pivotButton="0" quotePrefix="0" xfId="0"/>
    <xf numFmtId="0" fontId="0" fillId="2" borderId="6" pivotButton="0" quotePrefix="0" xfId="0"/>
    <xf numFmtId="0" fontId="0" fillId="2" borderId="7" pivotButton="0" quotePrefix="0" xfId="0"/>
    <xf numFmtId="0" fontId="8" fillId="3" borderId="7" applyAlignment="1" pivotButton="0" quotePrefix="0" xfId="0">
      <alignment horizontal="right"/>
    </xf>
    <xf numFmtId="0" fontId="10" fillId="4" borderId="5" applyAlignment="1" pivotButton="0" quotePrefix="0" xfId="0">
      <alignment horizontal="left"/>
    </xf>
    <xf numFmtId="0" fontId="10" fillId="4" borderId="6" applyAlignment="1" pivotButton="0" quotePrefix="0" xfId="0">
      <alignment horizontal="left"/>
    </xf>
    <xf numFmtId="0" fontId="0" fillId="4" borderId="6" pivotButton="0" quotePrefix="0" xfId="0"/>
    <xf numFmtId="0" fontId="0" fillId="4" borderId="7" pivotButton="0" quotePrefix="0" xfId="0"/>
    <xf numFmtId="0" fontId="8" fillId="0" borderId="0" pivotButton="0" quotePrefix="0" xfId="0"/>
    <xf numFmtId="1" fontId="8" fillId="0" borderId="0" pivotButton="0" quotePrefix="0" xfId="0"/>
    <xf numFmtId="1" fontId="8" fillId="3" borderId="5" pivotButton="0" quotePrefix="0" xfId="0"/>
    <xf numFmtId="2" fontId="8" fillId="3" borderId="5" pivotButton="0" quotePrefix="0" xfId="0"/>
    <xf numFmtId="0" fontId="18" fillId="0" borderId="8" pivotButton="0" quotePrefix="0" xfId="0"/>
    <xf numFmtId="11" fontId="19" fillId="0" borderId="4" pivotButton="0" quotePrefix="0" xfId="0"/>
    <xf numFmtId="0" fontId="19" fillId="0" borderId="9" applyAlignment="1" pivotButton="0" quotePrefix="0" xfId="0">
      <alignment horizontal="right"/>
    </xf>
    <xf numFmtId="0" fontId="18" fillId="0" borderId="2" pivotButton="0" quotePrefix="0" xfId="0"/>
    <xf numFmtId="2" fontId="19" fillId="0" borderId="0" pivotButton="0" quotePrefix="0" xfId="0"/>
    <xf numFmtId="0" fontId="19" fillId="0" borderId="3" applyAlignment="1" pivotButton="0" quotePrefix="0" xfId="0">
      <alignment horizontal="right"/>
    </xf>
    <xf numFmtId="0" fontId="18" fillId="0" borderId="10" pivotButton="0" quotePrefix="0" xfId="0"/>
    <xf numFmtId="2" fontId="19" fillId="0" borderId="1" pivotButton="0" quotePrefix="0" xfId="0"/>
    <xf numFmtId="0" fontId="19" fillId="0" borderId="11" applyAlignment="1" pivotButton="0" quotePrefix="0" xfId="0">
      <alignment horizontal="right"/>
    </xf>
    <xf numFmtId="11" fontId="19" fillId="0" borderId="3" applyAlignment="1" pivotButton="0" quotePrefix="0" xfId="0">
      <alignment horizontal="right"/>
    </xf>
    <xf numFmtId="0" fontId="4" fillId="0" borderId="12" applyAlignment="1" pivotButton="0" quotePrefix="0" xfId="0">
      <alignment horizontal="center" vertical="center" wrapText="1"/>
    </xf>
    <xf numFmtId="0" fontId="4" fillId="0" borderId="12" applyAlignment="1" pivotButton="0" quotePrefix="0" xfId="0">
      <alignment horizontal="left" vertical="center" wrapText="1"/>
    </xf>
    <xf numFmtId="0" fontId="4" fillId="0" borderId="0" applyAlignment="1" pivotButton="0" quotePrefix="0" xfId="0">
      <alignment horizontal="center" vertical="center" wrapText="1"/>
    </xf>
    <xf numFmtId="0" fontId="4" fillId="0" borderId="12" applyAlignment="1" pivotButton="0" quotePrefix="0" xfId="0">
      <alignment horizontal="center" vertical="center" wrapText="1"/>
    </xf>
    <xf numFmtId="0" fontId="4" fillId="0" borderId="0" applyAlignment="1" pivotButton="0" quotePrefix="0" xfId="0">
      <alignment horizontal="center" vertical="center" wrapText="1"/>
    </xf>
    <xf numFmtId="1" fontId="4" fillId="0" borderId="12" applyAlignment="1" pivotButton="0" quotePrefix="0" xfId="0">
      <alignment horizontal="center" vertical="center" wrapText="1"/>
    </xf>
    <xf numFmtId="0" fontId="4" fillId="5" borderId="12" applyAlignment="1" pivotButton="0" quotePrefix="0" xfId="0">
      <alignment horizontal="center" vertical="center" wrapText="1"/>
    </xf>
    <xf numFmtId="0" fontId="4" fillId="5" borderId="12" applyAlignment="1" pivotButton="0" quotePrefix="0" xfId="0">
      <alignment vertical="center" wrapText="1"/>
    </xf>
    <xf numFmtId="0" fontId="4" fillId="6" borderId="13" applyAlignment="1" pivotButton="0" quotePrefix="0" xfId="0">
      <alignment horizontal="center" vertical="center" wrapText="1"/>
    </xf>
    <xf numFmtId="0" fontId="4" fillId="6" borderId="13" applyAlignment="1" pivotButton="0" quotePrefix="0" xfId="0">
      <alignment horizontal="center" vertical="center" wrapText="1"/>
    </xf>
    <xf numFmtId="0" fontId="0" fillId="0" borderId="0" applyAlignment="1" pivotButton="0" quotePrefix="0" xfId="0">
      <alignment horizontal="center" vertical="center"/>
    </xf>
    <xf numFmtId="2" fontId="0" fillId="0" borderId="0" applyAlignment="1" pivotButton="0" quotePrefix="0" xfId="0">
      <alignment horizontal="center" vertical="center"/>
    </xf>
    <xf numFmtId="0" fontId="0" fillId="0" borderId="0" applyAlignment="1" pivotButton="0" quotePrefix="0" xfId="0">
      <alignment horizontal="center" vertical="center"/>
    </xf>
    <xf numFmtId="0" fontId="4" fillId="0" borderId="0" applyAlignment="1" pivotButton="0" quotePrefix="0" xfId="0">
      <alignment horizontal="center" vertical="center"/>
    </xf>
    <xf numFmtId="1" fontId="0" fillId="0" borderId="0" applyAlignment="1" pivotButton="0" quotePrefix="0" xfId="0">
      <alignment horizontal="center" vertical="center"/>
    </xf>
    <xf numFmtId="0" fontId="3" fillId="0" borderId="0" applyAlignment="1" pivotButton="0" quotePrefix="0" xfId="0">
      <alignment horizontal="center" vertical="center"/>
    </xf>
    <xf numFmtId="11" fontId="3" fillId="0" borderId="0" applyAlignment="1" pivotButton="0" quotePrefix="0" xfId="0">
      <alignment horizontal="center" vertical="center"/>
    </xf>
    <xf numFmtId="9" fontId="3" fillId="0" borderId="0" applyAlignment="1" pivotButton="0" quotePrefix="0" xfId="0">
      <alignment horizontal="center" vertical="center"/>
    </xf>
    <xf numFmtId="2" fontId="3" fillId="0" borderId="0" applyAlignment="1" pivotButton="0" quotePrefix="0" xfId="0">
      <alignment horizontal="center" vertical="center"/>
    </xf>
    <xf numFmtId="0" fontId="4" fillId="6" borderId="0" applyAlignment="1" pivotButton="0" quotePrefix="0" xfId="0">
      <alignment vertical="center"/>
    </xf>
    <xf numFmtId="0" fontId="0" fillId="6" borderId="0" applyAlignment="1" pivotButton="0" quotePrefix="0" xfId="0">
      <alignment horizontal="center" vertical="center"/>
    </xf>
    <xf numFmtId="2" fontId="3" fillId="6" borderId="0" applyAlignment="1" pivotButton="0" quotePrefix="0" xfId="0">
      <alignment horizontal="center" vertical="center"/>
    </xf>
    <xf numFmtId="0" fontId="0" fillId="0" borderId="0" applyAlignment="1" pivotButton="0" quotePrefix="0" xfId="0">
      <alignment vertical="center"/>
    </xf>
    <xf numFmtId="0" fontId="0" fillId="0" borderId="1" applyAlignment="1" pivotButton="0" quotePrefix="0" xfId="0">
      <alignment horizontal="center" vertical="center"/>
    </xf>
    <xf numFmtId="0" fontId="4" fillId="0" borderId="0" applyAlignment="1" pivotButton="0" quotePrefix="0" xfId="0">
      <alignment horizontal="left" vertical="center"/>
    </xf>
    <xf numFmtId="0" fontId="4" fillId="0" borderId="12" applyAlignment="1" pivotButton="0" quotePrefix="0" xfId="0">
      <alignment horizontal="left" vertical="center"/>
    </xf>
    <xf numFmtId="0" fontId="4" fillId="0" borderId="0" applyAlignment="1" pivotButton="0" quotePrefix="0" xfId="0">
      <alignment vertical="center"/>
    </xf>
    <xf numFmtId="0" fontId="4" fillId="0" borderId="14" applyAlignment="1" pivotButton="0" quotePrefix="0" xfId="0">
      <alignment horizontal="center" vertical="center"/>
    </xf>
    <xf numFmtId="0" fontId="4" fillId="0" borderId="12" applyAlignment="1" pivotButton="0" quotePrefix="0" xfId="0">
      <alignment horizontal="center" vertical="center"/>
    </xf>
    <xf numFmtId="0" fontId="4" fillId="0" borderId="0" applyAlignment="1" pivotButton="0" quotePrefix="0" xfId="0">
      <alignment horizontal="center" vertical="center"/>
    </xf>
    <xf numFmtId="0" fontId="4" fillId="0" borderId="0" applyAlignment="1" pivotButton="0" quotePrefix="0" xfId="0">
      <alignment horizontal="center" vertical="center"/>
    </xf>
    <xf numFmtId="11" fontId="4" fillId="0" borderId="12" applyAlignment="1" pivotButton="0" quotePrefix="0" xfId="0">
      <alignment horizontal="center" vertical="center"/>
    </xf>
    <xf numFmtId="2" fontId="4" fillId="0" borderId="12" applyAlignment="1" pivotButton="0" quotePrefix="0" xfId="0">
      <alignment horizontal="center" vertical="center"/>
    </xf>
    <xf numFmtId="10" fontId="4" fillId="0" borderId="12" applyAlignment="1" pivotButton="0" quotePrefix="0" xfId="0">
      <alignment horizontal="center" vertical="center"/>
    </xf>
    <xf numFmtId="0" fontId="4" fillId="0" borderId="0" applyAlignment="1" pivotButton="0" quotePrefix="0" xfId="0">
      <alignment horizontal="center" vertical="center"/>
    </xf>
    <xf numFmtId="10" fontId="4" fillId="0" borderId="12" applyAlignment="1" pivotButton="0" quotePrefix="1" xfId="0">
      <alignment horizontal="center" vertical="center"/>
    </xf>
    <xf numFmtId="0" fontId="4" fillId="0" borderId="12" applyAlignment="1" pivotButton="0" quotePrefix="1" xfId="0">
      <alignment horizontal="center" vertical="center" wrapText="1"/>
    </xf>
    <xf numFmtId="0" fontId="4" fillId="0" borderId="12" applyAlignment="1" pivotButton="0" quotePrefix="0" xfId="0">
      <alignment horizontal="center" vertical="center"/>
    </xf>
    <xf numFmtId="0" fontId="4" fillId="5" borderId="0" applyAlignment="1" pivotButton="0" quotePrefix="0" xfId="0">
      <alignment vertical="center"/>
    </xf>
    <xf numFmtId="2" fontId="4" fillId="0" borderId="0" applyAlignment="1" pivotButton="0" quotePrefix="0" xfId="0">
      <alignment horizontal="center" vertical="center"/>
    </xf>
    <xf numFmtId="0" fontId="4" fillId="6" borderId="0" applyAlignment="1" pivotButton="0" quotePrefix="0" xfId="0">
      <alignment vertical="center"/>
    </xf>
    <xf numFmtId="0" fontId="4" fillId="0" borderId="0" applyAlignment="1" pivotButton="0" quotePrefix="0" xfId="0">
      <alignment vertical="center"/>
    </xf>
    <xf numFmtId="0" fontId="4" fillId="0" borderId="12" applyAlignment="1" pivotButton="0" quotePrefix="0" xfId="0">
      <alignment vertical="center"/>
    </xf>
    <xf numFmtId="0" fontId="0" fillId="6" borderId="0" applyAlignment="1" pivotButton="0" quotePrefix="0" xfId="0">
      <alignment vertical="center"/>
    </xf>
    <xf numFmtId="0" fontId="0" fillId="0" borderId="0" applyAlignment="1" pivotButton="0" quotePrefix="0" xfId="0">
      <alignment vertical="center"/>
    </xf>
    <xf numFmtId="1" fontId="4" fillId="0" borderId="12" applyAlignment="1" pivotButton="0" quotePrefix="0" xfId="0">
      <alignment horizontal="center" vertical="center"/>
    </xf>
    <xf numFmtId="0" fontId="4" fillId="6" borderId="13" applyAlignment="1" pivotButton="0" quotePrefix="0" xfId="0">
      <alignment vertical="center"/>
    </xf>
    <xf numFmtId="0" fontId="4" fillId="6" borderId="13" applyAlignment="1" pivotButton="0" quotePrefix="0" xfId="0">
      <alignment horizontal="center" vertical="center"/>
    </xf>
    <xf numFmtId="0" fontId="4" fillId="6" borderId="13" applyAlignment="1" pivotButton="0" quotePrefix="0" xfId="0">
      <alignment horizontal="left" vertical="center"/>
    </xf>
    <xf numFmtId="0" fontId="4" fillId="6" borderId="13" applyAlignment="1" pivotButton="0" quotePrefix="1" xfId="0">
      <alignment horizontal="left" vertical="center"/>
    </xf>
    <xf numFmtId="0" fontId="4" fillId="6" borderId="13" applyAlignment="1" pivotButton="0" quotePrefix="0" xfId="0">
      <alignment horizontal="center" vertical="center"/>
    </xf>
    <xf numFmtId="2" fontId="4" fillId="6" borderId="13" applyAlignment="1" pivotButton="0" quotePrefix="0" xfId="0">
      <alignment horizontal="center" vertical="center"/>
    </xf>
    <xf numFmtId="1" fontId="4" fillId="6" borderId="13" applyAlignment="1" pivotButton="0" quotePrefix="0" xfId="0">
      <alignment horizontal="center" vertical="center"/>
    </xf>
    <xf numFmtId="11" fontId="4" fillId="6" borderId="13" applyAlignment="1" pivotButton="0" quotePrefix="0" xfId="0">
      <alignment horizontal="center" vertical="center"/>
    </xf>
    <xf numFmtId="9" fontId="4" fillId="6" borderId="13" applyAlignment="1" pivotButton="0" quotePrefix="0" xfId="1">
      <alignment horizontal="center" vertical="center"/>
    </xf>
    <xf numFmtId="10" fontId="4" fillId="6" borderId="13" applyAlignment="1" pivotButton="0" quotePrefix="1" xfId="0">
      <alignment horizontal="center" vertical="center"/>
    </xf>
    <xf numFmtId="0" fontId="4" fillId="6" borderId="13" applyAlignment="1" pivotButton="0" quotePrefix="1" xfId="0">
      <alignment horizontal="center" vertical="center" wrapText="1"/>
    </xf>
    <xf numFmtId="10" fontId="4" fillId="6" borderId="13" applyAlignment="1" pivotButton="0" quotePrefix="0" xfId="0">
      <alignment horizontal="center" vertical="center"/>
    </xf>
    <xf numFmtId="0" fontId="4" fillId="6" borderId="15" applyAlignment="1" pivotButton="0" quotePrefix="0" xfId="0">
      <alignment vertical="center"/>
    </xf>
    <xf numFmtId="0" fontId="4" fillId="6" borderId="0" applyAlignment="1" pivotButton="0" quotePrefix="0" xfId="0">
      <alignment horizontal="center" vertical="center"/>
    </xf>
    <xf numFmtId="0" fontId="4" fillId="6" borderId="0" applyAlignment="1" pivotButton="0" quotePrefix="0" xfId="0">
      <alignment horizontal="center" vertical="center"/>
    </xf>
    <xf numFmtId="0" fontId="0" fillId="0" borderId="0" applyAlignment="1" pivotButton="0" quotePrefix="0" xfId="0">
      <alignment vertical="center"/>
    </xf>
    <xf numFmtId="1" fontId="3" fillId="0" borderId="0" applyAlignment="1" pivotButton="0" quotePrefix="0" xfId="0">
      <alignment horizontal="center" vertical="center"/>
    </xf>
    <xf numFmtId="0" fontId="4" fillId="0" borderId="12" applyAlignment="1" pivotButton="0" quotePrefix="0" xfId="0">
      <alignment horizontal="center" vertical="center" wrapText="1"/>
    </xf>
    <xf numFmtId="2" fontId="3" fillId="0" borderId="0" applyAlignment="1" pivotButton="0" quotePrefix="0" xfId="0">
      <alignment horizontal="center" vertical="center" wrapText="1"/>
    </xf>
    <xf numFmtId="0" fontId="11" fillId="0" borderId="0" applyAlignment="1" pivotButton="0" quotePrefix="0" xfId="0">
      <alignment horizontal="left" vertical="center"/>
    </xf>
    <xf numFmtId="0" fontId="4" fillId="0" borderId="0" applyAlignment="1" pivotButton="0" quotePrefix="0" xfId="0">
      <alignment horizontal="left" vertical="center"/>
    </xf>
    <xf numFmtId="0" fontId="4" fillId="0" borderId="0" applyAlignment="1" pivotButton="0" quotePrefix="0" xfId="0">
      <alignment vertical="center"/>
    </xf>
    <xf numFmtId="0" fontId="4" fillId="0" borderId="0" applyAlignment="1" pivotButton="0" quotePrefix="0" xfId="0">
      <alignment horizontal="left" vertical="center" wrapText="1"/>
    </xf>
    <xf numFmtId="1" fontId="4" fillId="0" borderId="0" applyAlignment="1" pivotButton="0" quotePrefix="0" xfId="0">
      <alignment horizontal="center" vertical="center" wrapText="1"/>
    </xf>
    <xf numFmtId="1" fontId="4" fillId="0" borderId="0" applyAlignment="1" pivotButton="0" quotePrefix="0" xfId="0">
      <alignment horizontal="center" vertical="center"/>
    </xf>
    <xf numFmtId="0" fontId="4" fillId="5" borderId="0" applyAlignment="1" pivotButton="0" quotePrefix="0" xfId="0">
      <alignment horizontal="center" vertical="center" wrapText="1"/>
    </xf>
    <xf numFmtId="11" fontId="4" fillId="0" borderId="0" applyAlignment="1" pivotButton="0" quotePrefix="0" xfId="0">
      <alignment horizontal="center" vertical="center"/>
    </xf>
    <xf numFmtId="10" fontId="4" fillId="0" borderId="0" applyAlignment="1" pivotButton="0" quotePrefix="0" xfId="0">
      <alignment horizontal="center" vertical="center"/>
    </xf>
    <xf numFmtId="0" fontId="4" fillId="0" borderId="0" applyAlignment="1" pivotButton="0" quotePrefix="0" xfId="0">
      <alignment horizontal="center" vertical="center"/>
    </xf>
    <xf numFmtId="10" fontId="4" fillId="0" borderId="0" applyAlignment="1" pivotButton="0" quotePrefix="1" xfId="0">
      <alignment horizontal="center" vertical="center"/>
    </xf>
    <xf numFmtId="0" fontId="4" fillId="0" borderId="0" applyAlignment="1" pivotButton="0" quotePrefix="1" xfId="0">
      <alignment horizontal="center" vertical="center" wrapText="1"/>
    </xf>
    <xf numFmtId="0" fontId="4" fillId="0" borderId="0" applyAlignment="1" pivotButton="0" quotePrefix="0" xfId="0">
      <alignment horizontal="center" vertical="center" wrapText="1"/>
    </xf>
    <xf numFmtId="0" fontId="4" fillId="5" borderId="0" applyAlignment="1" pivotButton="0" quotePrefix="0" xfId="0">
      <alignment vertical="center" wrapText="1"/>
    </xf>
    <xf numFmtId="0" fontId="4" fillId="0" borderId="0" applyAlignment="1" pivotButton="0" quotePrefix="0" xfId="0">
      <alignment vertical="center"/>
    </xf>
    <xf numFmtId="0" fontId="0" fillId="6" borderId="0" applyAlignment="1" pivotButton="0" quotePrefix="0" xfId="0">
      <alignment vertical="center"/>
    </xf>
    <xf numFmtId="0" fontId="4" fillId="0" borderId="12" applyAlignment="1" pivotButton="0" quotePrefix="1" xfId="0">
      <alignment horizontal="left" vertical="center"/>
    </xf>
    <xf numFmtId="0" fontId="4" fillId="0" borderId="12" applyAlignment="1" pivotButton="0" quotePrefix="0" xfId="0">
      <alignment horizontal="center" vertical="center"/>
    </xf>
    <xf numFmtId="0" fontId="4" fillId="5" borderId="12" applyAlignment="1" pivotButton="0" quotePrefix="0" xfId="0">
      <alignment vertical="center"/>
    </xf>
    <xf numFmtId="0" fontId="3" fillId="0" borderId="0" applyAlignment="1" pivotButton="0" quotePrefix="0" xfId="0">
      <alignment horizontal="center" vertical="center"/>
    </xf>
    <xf numFmtId="0" fontId="4" fillId="0" borderId="12" applyAlignment="1" pivotButton="0" quotePrefix="0" xfId="0">
      <alignment vertical="center"/>
    </xf>
    <xf numFmtId="0" fontId="4" fillId="0" borderId="0" applyAlignment="1" pivotButton="0" quotePrefix="0" xfId="0">
      <alignment vertical="center"/>
    </xf>
    <xf numFmtId="0" fontId="4" fillId="6" borderId="0" applyAlignment="1" pivotButton="0" quotePrefix="0" xfId="0">
      <alignment vertical="center"/>
    </xf>
    <xf numFmtId="0" fontId="4" fillId="6" borderId="0" applyAlignment="1" pivotButton="0" quotePrefix="0" xfId="0">
      <alignment horizontal="center" vertical="center"/>
    </xf>
    <xf numFmtId="3" fontId="8" fillId="3" borderId="5" pivotButton="0" quotePrefix="0" xfId="0"/>
    <xf numFmtId="4" fontId="8" fillId="3" borderId="5" pivotButton="0" quotePrefix="0" xfId="0"/>
    <xf numFmtId="2" fontId="19" fillId="0" borderId="4" pivotButton="0" quotePrefix="0" xfId="0"/>
    <xf numFmtId="0" fontId="4" fillId="0" borderId="16" applyAlignment="1" pivotButton="0" quotePrefix="0" xfId="0">
      <alignment horizontal="center" vertical="center"/>
    </xf>
    <xf numFmtId="1" fontId="4" fillId="0" borderId="16" applyAlignment="1" pivotButton="0" quotePrefix="0" xfId="0">
      <alignment horizontal="center" vertical="center"/>
    </xf>
    <xf numFmtId="1" fontId="4" fillId="0" borderId="16" applyAlignment="1" pivotButton="0" quotePrefix="0" xfId="0">
      <alignment horizontal="center" vertical="center" wrapText="1"/>
    </xf>
    <xf numFmtId="0" fontId="4" fillId="0" borderId="16" applyAlignment="1" pivotButton="0" quotePrefix="0" xfId="0">
      <alignment horizontal="center" vertical="center"/>
    </xf>
    <xf numFmtId="0" fontId="4" fillId="5" borderId="16" applyAlignment="1" pivotButton="0" quotePrefix="0" xfId="0">
      <alignment horizontal="center" vertical="center" wrapText="1"/>
    </xf>
    <xf numFmtId="0" fontId="0" fillId="0" borderId="12" pivotButton="0" quotePrefix="0" xfId="0"/>
    <xf numFmtId="164" fontId="0" fillId="0" borderId="12" pivotButton="0" quotePrefix="0" xfId="0"/>
    <xf numFmtId="0" fontId="0" fillId="7" borderId="12" applyAlignment="1" pivotButton="0" quotePrefix="0" xfId="0">
      <alignment horizontal="right"/>
    </xf>
    <xf numFmtId="0" fontId="0" fillId="0" borderId="0" pivotButton="0" quotePrefix="0" xfId="0"/>
    <xf numFmtId="0" fontId="0" fillId="0" borderId="17" pivotButton="0" quotePrefix="0" xfId="0"/>
    <xf numFmtId="0" fontId="0" fillId="0" borderId="0" applyAlignment="1" pivotButton="0" quotePrefix="0" xfId="0">
      <alignment horizontal="left"/>
    </xf>
    <xf numFmtId="0" fontId="8" fillId="0" borderId="0" pivotButton="0" quotePrefix="0" xfId="0"/>
    <xf numFmtId="0" fontId="0" fillId="0" borderId="0" pivotButton="0" quotePrefix="0" xfId="0"/>
    <xf numFmtId="0" fontId="0" fillId="0" borderId="0" pivotButton="0" quotePrefix="0" xfId="0"/>
    <xf numFmtId="0" fontId="0" fillId="0" borderId="0" applyAlignment="1" pivotButton="0" quotePrefix="0" xfId="0">
      <alignment horizontal="center"/>
    </xf>
    <xf numFmtId="2" fontId="0" fillId="0" borderId="0" pivotButton="0" quotePrefix="0" xfId="0"/>
    <xf numFmtId="1" fontId="0" fillId="0" borderId="0" pivotButton="0" quotePrefix="0" xfId="0"/>
    <xf numFmtId="11" fontId="0" fillId="0" borderId="0" pivotButton="0" quotePrefix="0" xfId="0"/>
    <xf numFmtId="9" fontId="0" fillId="0" borderId="0" pivotButton="0" quotePrefix="0" xfId="0"/>
    <xf numFmtId="0" fontId="0" fillId="0" borderId="0" pivotButton="0" quotePrefix="0" xfId="0"/>
    <xf numFmtId="10" fontId="0" fillId="0" borderId="0" pivotButton="0" quotePrefix="0" xfId="0"/>
    <xf numFmtId="0" fontId="0" fillId="6" borderId="0" pivotButton="0" quotePrefix="0" xfId="0"/>
    <xf numFmtId="0" fontId="0" fillId="0" borderId="0" applyAlignment="1" pivotButton="0" quotePrefix="0" xfId="0">
      <alignment horizontal="center"/>
    </xf>
    <xf numFmtId="2" fontId="0" fillId="0" borderId="0" applyAlignment="1" pivotButton="0" quotePrefix="0" xfId="0">
      <alignment horizontal="center"/>
    </xf>
    <xf numFmtId="0" fontId="0" fillId="0" borderId="0" pivotButton="0" quotePrefix="0" xfId="0"/>
    <xf numFmtId="0" fontId="0" fillId="2" borderId="5" applyAlignment="1" pivotButton="0" quotePrefix="0" xfId="0">
      <alignment horizontal="left"/>
    </xf>
    <xf numFmtId="0" fontId="0" fillId="2" borderId="6" applyAlignment="1" pivotButton="0" quotePrefix="0" xfId="0">
      <alignment horizontal="left"/>
    </xf>
    <xf numFmtId="0" fontId="0" fillId="2" borderId="7" applyAlignment="1" pivotButton="0" quotePrefix="0" xfId="0">
      <alignment horizontal="left"/>
    </xf>
    <xf numFmtId="0" fontId="0" fillId="0" borderId="0" applyAlignment="1" pivotButton="0" quotePrefix="0" xfId="0">
      <alignment horizontal="left"/>
    </xf>
    <xf numFmtId="0" fontId="9" fillId="0" borderId="0" pivotButton="0" quotePrefix="0" xfId="0"/>
    <xf numFmtId="0" fontId="8" fillId="0" borderId="0" applyAlignment="1" pivotButton="0" quotePrefix="0" xfId="0">
      <alignment horizontal="center"/>
    </xf>
    <xf numFmtId="0" fontId="8" fillId="0" borderId="0" pivotButton="0" quotePrefix="0" xfId="0"/>
    <xf numFmtId="2" fontId="17" fillId="0" borderId="8" applyAlignment="1" pivotButton="0" quotePrefix="0" xfId="0">
      <alignment horizontal="centerContinuous"/>
    </xf>
    <xf numFmtId="2" fontId="0" fillId="0" borderId="9" applyAlignment="1" pivotButton="0" quotePrefix="0" xfId="0">
      <alignment horizontal="centerContinuous"/>
    </xf>
    <xf numFmtId="1" fontId="17" fillId="0" borderId="8" applyAlignment="1" pivotButton="0" quotePrefix="0" xfId="0">
      <alignment horizontal="centerContinuous"/>
    </xf>
    <xf numFmtId="0" fontId="17" fillId="0" borderId="4" applyAlignment="1" pivotButton="0" quotePrefix="0" xfId="0">
      <alignment horizontal="centerContinuous"/>
    </xf>
    <xf numFmtId="0" fontId="17" fillId="0" borderId="9" applyAlignment="1" pivotButton="0" quotePrefix="0" xfId="0">
      <alignment horizontal="centerContinuous"/>
    </xf>
    <xf numFmtId="0" fontId="17" fillId="0" borderId="8" applyAlignment="1" pivotButton="0" quotePrefix="0" xfId="0">
      <alignment horizontal="centerContinuous"/>
    </xf>
    <xf numFmtId="0" fontId="17" fillId="0" borderId="8" applyAlignment="1" pivotButton="0" quotePrefix="0" xfId="0">
      <alignment horizontal="left"/>
    </xf>
    <xf numFmtId="0" fontId="17" fillId="0" borderId="0" applyAlignment="1" pivotButton="0" quotePrefix="0" xfId="0">
      <alignment horizontal="centerContinuous"/>
    </xf>
    <xf numFmtId="0" fontId="0" fillId="0" borderId="0" applyAlignment="1" pivotButton="0" quotePrefix="0" xfId="0">
      <alignment horizontal="centerContinuous"/>
    </xf>
    <xf numFmtId="0" fontId="17" fillId="0" borderId="18" applyAlignment="1" pivotButton="0" quotePrefix="0" xfId="0">
      <alignment horizontal="centerContinuous"/>
    </xf>
    <xf numFmtId="0" fontId="17" fillId="0" borderId="19" applyAlignment="1" pivotButton="0" quotePrefix="0" xfId="0">
      <alignment horizontal="centerContinuous"/>
    </xf>
    <xf numFmtId="0" fontId="17" fillId="0" borderId="20" applyAlignment="1" pivotButton="0" quotePrefix="0" xfId="0">
      <alignment horizontal="centerContinuous"/>
    </xf>
    <xf numFmtId="0" fontId="0" fillId="0" borderId="21" pivotButton="0" quotePrefix="0" xfId="0"/>
    <xf numFmtId="0" fontId="8" fillId="0" borderId="18" applyAlignment="1" pivotButton="0" quotePrefix="0" xfId="0">
      <alignment horizontal="centerContinuous"/>
    </xf>
    <xf numFmtId="0" fontId="0" fillId="0" borderId="19" applyAlignment="1" pivotButton="0" quotePrefix="0" xfId="0">
      <alignment horizontal="centerContinuous"/>
    </xf>
    <xf numFmtId="0" fontId="0" fillId="0" borderId="20" applyAlignment="1" pivotButton="0" quotePrefix="0" xfId="0">
      <alignment horizontal="centerContinuous"/>
    </xf>
    <xf numFmtId="0" fontId="8" fillId="0" borderId="0" applyAlignment="1" pivotButton="0" quotePrefix="0" xfId="0">
      <alignment horizontal="center"/>
    </xf>
    <xf numFmtId="0" fontId="8" fillId="0" borderId="18" applyAlignment="1" pivotButton="0" quotePrefix="0" xfId="0">
      <alignment horizontal="centerContinuous"/>
    </xf>
    <xf numFmtId="0" fontId="0" fillId="0" borderId="19" applyAlignment="1" pivotButton="0" quotePrefix="0" xfId="0">
      <alignment horizontal="centerContinuous"/>
    </xf>
    <xf numFmtId="0" fontId="0" fillId="0" borderId="0" pivotButton="0" quotePrefix="1" xfId="0"/>
    <xf numFmtId="0" fontId="20" fillId="7" borderId="0" applyAlignment="1" pivotButton="0" quotePrefix="0" xfId="0">
      <alignment horizontal="left"/>
    </xf>
    <xf numFmtId="0" fontId="0" fillId="0" borderId="2" pivotButton="0" quotePrefix="0" xfId="0"/>
    <xf numFmtId="2" fontId="0" fillId="0" borderId="3" pivotButton="0" quotePrefix="0" xfId="0"/>
    <xf numFmtId="1" fontId="0" fillId="0" borderId="8" pivotButton="0" quotePrefix="0" xfId="0"/>
    <xf numFmtId="0" fontId="0" fillId="0" borderId="4" pivotButton="0" quotePrefix="0" xfId="0"/>
    <xf numFmtId="0" fontId="0" fillId="0" borderId="9" pivotButton="0" quotePrefix="0" xfId="0"/>
    <xf numFmtId="0" fontId="0" fillId="0" borderId="2" pivotButton="0" quotePrefix="0" xfId="0"/>
    <xf numFmtId="0" fontId="0" fillId="0" borderId="3" pivotButton="0" quotePrefix="0" xfId="0"/>
    <xf numFmtId="0" fontId="0" fillId="0" borderId="0" pivotButton="0" quotePrefix="0" xfId="0"/>
    <xf numFmtId="0" fontId="0" fillId="0" borderId="3" pivotButton="0" quotePrefix="0" xfId="0"/>
    <xf numFmtId="0" fontId="0" fillId="0" borderId="3" pivotButton="0" quotePrefix="0" xfId="0"/>
    <xf numFmtId="0" fontId="0" fillId="0" borderId="2" pivotButton="0" quotePrefix="0" xfId="0"/>
    <xf numFmtId="0" fontId="0" fillId="0" borderId="0" pivotButton="0" quotePrefix="0" xfId="0"/>
    <xf numFmtId="0" fontId="0" fillId="7" borderId="5" applyAlignment="1" pivotButton="0" quotePrefix="0" xfId="0">
      <alignment horizontal="left"/>
    </xf>
    <xf numFmtId="0" fontId="0" fillId="7" borderId="6" applyAlignment="1" pivotButton="0" quotePrefix="0" xfId="0">
      <alignment horizontal="left"/>
    </xf>
    <xf numFmtId="0" fontId="0" fillId="7" borderId="7" applyAlignment="1" pivotButton="0" quotePrefix="0" xfId="0">
      <alignment horizontal="left"/>
    </xf>
    <xf numFmtId="1" fontId="0" fillId="0" borderId="2" pivotButton="0" quotePrefix="0" xfId="0"/>
    <xf numFmtId="0" fontId="20" fillId="0" borderId="0" pivotButton="0" quotePrefix="0" xfId="0"/>
    <xf numFmtId="0" fontId="0" fillId="0" borderId="1" pivotButton="0" quotePrefix="0" xfId="0"/>
    <xf numFmtId="0" fontId="0" fillId="0" borderId="11" pivotButton="0" quotePrefix="0" xfId="0"/>
    <xf numFmtId="0" fontId="20" fillId="0" borderId="0" pivotButton="0" quotePrefix="0" xfId="0"/>
    <xf numFmtId="2" fontId="8" fillId="4" borderId="18" applyAlignment="1" pivotButton="0" quotePrefix="0" xfId="0">
      <alignment horizontal="centerContinuous"/>
    </xf>
    <xf numFmtId="2" fontId="0" fillId="4" borderId="20" applyAlignment="1" pivotButton="0" quotePrefix="0" xfId="0">
      <alignment horizontal="centerContinuous"/>
    </xf>
    <xf numFmtId="1" fontId="8" fillId="4" borderId="18" applyAlignment="1" pivotButton="0" quotePrefix="0" xfId="0">
      <alignment horizontal="centerContinuous"/>
    </xf>
    <xf numFmtId="1" fontId="8" fillId="4" borderId="19" applyAlignment="1" pivotButton="0" quotePrefix="0" xfId="0">
      <alignment horizontal="centerContinuous"/>
    </xf>
    <xf numFmtId="1" fontId="8" fillId="4" borderId="20" applyAlignment="1" pivotButton="0" quotePrefix="0" xfId="0">
      <alignment horizontal="centerContinuous"/>
    </xf>
    <xf numFmtId="0" fontId="0" fillId="4" borderId="20" applyAlignment="1" pivotButton="0" quotePrefix="0" xfId="0">
      <alignment horizontal="centerContinuous"/>
    </xf>
    <xf numFmtId="11" fontId="8" fillId="4" borderId="18" applyAlignment="1" pivotButton="0" quotePrefix="0" xfId="0">
      <alignment horizontal="centerContinuous"/>
    </xf>
    <xf numFmtId="11" fontId="8" fillId="4" borderId="19" applyAlignment="1" pivotButton="0" quotePrefix="0" xfId="0">
      <alignment horizontal="centerContinuous"/>
    </xf>
    <xf numFmtId="11" fontId="8" fillId="4" borderId="20" applyAlignment="1" pivotButton="0" quotePrefix="0" xfId="0">
      <alignment horizontal="centerContinuous"/>
    </xf>
    <xf numFmtId="0" fontId="8" fillId="4" borderId="18" applyAlignment="1" pivotButton="0" quotePrefix="0" xfId="0">
      <alignment horizontal="centerContinuous"/>
    </xf>
    <xf numFmtId="0" fontId="8" fillId="4" borderId="19" applyAlignment="1" pivotButton="0" quotePrefix="0" xfId="0">
      <alignment horizontal="centerContinuous"/>
    </xf>
    <xf numFmtId="0" fontId="8" fillId="4" borderId="20" applyAlignment="1" pivotButton="0" quotePrefix="0" xfId="0">
      <alignment horizontal="centerContinuous"/>
    </xf>
    <xf numFmtId="0" fontId="8" fillId="2" borderId="22" pivotButton="0" quotePrefix="0" xfId="0"/>
    <xf numFmtId="0" fontId="0" fillId="2" borderId="23" pivotButton="0" quotePrefix="0" xfId="0"/>
    <xf numFmtId="0" fontId="0" fillId="2" borderId="24" pivotButton="0" quotePrefix="0" xfId="0"/>
    <xf numFmtId="0" fontId="0" fillId="0" borderId="14" pivotButton="0" quotePrefix="0" xfId="0"/>
    <xf numFmtId="11" fontId="8" fillId="4" borderId="25" applyAlignment="1" pivotButton="0" quotePrefix="0" xfId="0">
      <alignment horizontal="center"/>
    </xf>
    <xf numFmtId="0" fontId="8" fillId="4" borderId="25" applyAlignment="1" pivotButton="0" quotePrefix="0" xfId="0">
      <alignment horizontal="center"/>
    </xf>
    <xf numFmtId="0" fontId="8" fillId="4" borderId="25" applyAlignment="1" pivotButton="0" quotePrefix="0" xfId="0">
      <alignment horizontal="center"/>
    </xf>
    <xf numFmtId="0" fontId="0" fillId="0" borderId="1" applyAlignment="1" pivotButton="0" quotePrefix="0" xfId="0">
      <alignment horizontal="left"/>
    </xf>
    <xf numFmtId="0" fontId="0" fillId="2" borderId="26" pivotButton="0" quotePrefix="0" xfId="0"/>
    <xf numFmtId="0" fontId="0" fillId="2" borderId="27" pivotButton="0" quotePrefix="0" xfId="0"/>
    <xf numFmtId="0" fontId="0" fillId="2" borderId="28" pivotButton="0" quotePrefix="0" xfId="0"/>
    <xf numFmtId="0" fontId="20" fillId="7" borderId="1" applyAlignment="1" pivotButton="0" quotePrefix="0" xfId="0">
      <alignment horizontal="left"/>
    </xf>
    <xf numFmtId="0" fontId="0" fillId="0" borderId="1" applyAlignment="1" pivotButton="0" quotePrefix="0" xfId="0">
      <alignment horizontal="center"/>
    </xf>
    <xf numFmtId="2" fontId="0" fillId="0" borderId="1" pivotButton="0" quotePrefix="0" xfId="0"/>
    <xf numFmtId="0" fontId="9" fillId="0" borderId="1" pivotButton="0" quotePrefix="0" xfId="0"/>
    <xf numFmtId="1" fontId="0" fillId="0" borderId="1" pivotButton="0" quotePrefix="0" xfId="0"/>
    <xf numFmtId="11" fontId="0" fillId="0" borderId="1" pivotButton="0" quotePrefix="0" xfId="0"/>
    <xf numFmtId="9" fontId="0" fillId="0" borderId="1" pivotButton="0" quotePrefix="0" xfId="0"/>
    <xf numFmtId="0" fontId="0" fillId="0" borderId="1" pivotButton="0" quotePrefix="0" xfId="0"/>
    <xf numFmtId="10" fontId="0" fillId="0" borderId="1" pivotButton="0" quotePrefix="0" xfId="0"/>
    <xf numFmtId="0" fontId="0" fillId="6" borderId="1" pivotButton="0" quotePrefix="0" xfId="0"/>
    <xf numFmtId="0" fontId="8" fillId="2" borderId="14" pivotButton="0" quotePrefix="0" xfId="0"/>
    <xf numFmtId="0" fontId="0" fillId="2" borderId="0" pivotButton="0" quotePrefix="0" xfId="0"/>
    <xf numFmtId="0" fontId="0" fillId="2" borderId="21" pivotButton="0" quotePrefix="0" xfId="0"/>
    <xf numFmtId="0" fontId="0" fillId="0" borderId="10" pivotButton="0" quotePrefix="0" xfId="0"/>
    <xf numFmtId="0" fontId="0" fillId="0" borderId="10" pivotButton="0" quotePrefix="0" xfId="0"/>
    <xf numFmtId="0" fontId="0" fillId="0" borderId="1" pivotButton="0" quotePrefix="0" xfId="0"/>
    <xf numFmtId="0" fontId="0" fillId="0" borderId="29" pivotButton="0" quotePrefix="0" xfId="0"/>
    <xf numFmtId="2" fontId="11" fillId="0" borderId="0" pivotButton="0" quotePrefix="0" xfId="0"/>
    <xf numFmtId="0" fontId="3" fillId="2" borderId="5" applyAlignment="1" pivotButton="0" quotePrefix="0" xfId="0">
      <alignment horizontal="centerContinuous"/>
    </xf>
    <xf numFmtId="0" fontId="3" fillId="2" borderId="6" applyAlignment="1" pivotButton="0" quotePrefix="0" xfId="0">
      <alignment horizontal="centerContinuous"/>
    </xf>
    <xf numFmtId="0" fontId="3" fillId="2" borderId="7" applyAlignment="1" pivotButton="0" quotePrefix="0" xfId="0">
      <alignment horizontal="centerContinuous"/>
    </xf>
    <xf numFmtId="0" fontId="3" fillId="2" borderId="30" applyAlignment="1" pivotButton="0" quotePrefix="0" xfId="0">
      <alignment horizontal="centerContinuous"/>
    </xf>
    <xf numFmtId="0" fontId="0" fillId="2" borderId="29" applyAlignment="1" pivotButton="0" quotePrefix="0" xfId="0">
      <alignment horizontal="centerContinuous"/>
    </xf>
    <xf numFmtId="0" fontId="0" fillId="2" borderId="31" applyAlignment="1" pivotButton="0" quotePrefix="0" xfId="0">
      <alignment horizontal="centerContinuous"/>
    </xf>
    <xf numFmtId="0" fontId="11" fillId="0" borderId="0" pivotButton="0" quotePrefix="0" xfId="0"/>
    <xf numFmtId="0" fontId="11" fillId="6" borderId="0" pivotButton="0" quotePrefix="0" xfId="0"/>
    <xf numFmtId="0" fontId="11" fillId="0" borderId="0" applyAlignment="1" pivotButton="0" quotePrefix="0" xfId="0">
      <alignment horizontal="center"/>
    </xf>
    <xf numFmtId="0" fontId="0" fillId="0" borderId="13" applyAlignment="1" pivotButton="0" quotePrefix="0" xfId="0">
      <alignment horizontal="center"/>
    </xf>
    <xf numFmtId="0" fontId="0" fillId="0" borderId="13" applyAlignment="1" pivotButton="0" quotePrefix="0" xfId="0">
      <alignment horizontal="center"/>
    </xf>
    <xf numFmtId="0" fontId="11" fillId="0" borderId="0" pivotButton="0" quotePrefix="0" xfId="0"/>
    <xf numFmtId="0" fontId="6" fillId="2" borderId="22" applyAlignment="1" pivotButton="0" quotePrefix="0" xfId="0">
      <alignment horizontal="centerContinuous"/>
    </xf>
    <xf numFmtId="0" fontId="6" fillId="2" borderId="23" applyAlignment="1" pivotButton="0" quotePrefix="0" xfId="0">
      <alignment horizontal="centerContinuous"/>
    </xf>
    <xf numFmtId="0" fontId="6" fillId="2" borderId="24" applyAlignment="1" pivotButton="0" quotePrefix="0" xfId="0">
      <alignment horizontal="centerContinuous"/>
    </xf>
    <xf numFmtId="0" fontId="4" fillId="2" borderId="24" applyAlignment="1" pivotButton="0" quotePrefix="0" xfId="0">
      <alignment horizontal="center"/>
    </xf>
    <xf numFmtId="0" fontId="4" fillId="2" borderId="16" applyAlignment="1" pivotButton="0" quotePrefix="0" xfId="0">
      <alignment horizontal="center"/>
    </xf>
    <xf numFmtId="0" fontId="6" fillId="0" borderId="0" applyAlignment="1" pivotButton="0" quotePrefix="0" xfId="0">
      <alignment horizontal="center"/>
    </xf>
    <xf numFmtId="0" fontId="6" fillId="2" borderId="5" applyAlignment="1" pivotButton="0" quotePrefix="0" xfId="0">
      <alignment horizontal="centerContinuous"/>
    </xf>
    <xf numFmtId="0" fontId="7" fillId="2" borderId="6" applyAlignment="1" pivotButton="0" quotePrefix="0" xfId="0">
      <alignment horizontal="centerContinuous"/>
    </xf>
    <xf numFmtId="0" fontId="7" fillId="2" borderId="7" applyAlignment="1" pivotButton="0" quotePrefix="0" xfId="0">
      <alignment horizontal="centerContinuous"/>
    </xf>
    <xf numFmtId="0" fontId="6" fillId="0" borderId="14" applyAlignment="1" pivotButton="0" quotePrefix="0" xfId="0">
      <alignment horizontal="center"/>
    </xf>
    <xf numFmtId="0" fontId="6" fillId="2" borderId="7" applyAlignment="1" pivotButton="0" quotePrefix="0" xfId="0">
      <alignment horizontal="centerContinuous"/>
    </xf>
    <xf numFmtId="0" fontId="7" fillId="2" borderId="5" applyAlignment="1" pivotButton="0" quotePrefix="0" xfId="0">
      <alignment horizontal="centerContinuous"/>
    </xf>
    <xf numFmtId="0" fontId="0" fillId="2" borderId="6" applyAlignment="1" pivotButton="0" quotePrefix="0" xfId="0">
      <alignment horizontal="centerContinuous"/>
    </xf>
    <xf numFmtId="0" fontId="0" fillId="2" borderId="7" applyAlignment="1" pivotButton="0" quotePrefix="0" xfId="0">
      <alignment horizontal="centerContinuous"/>
    </xf>
    <xf numFmtId="0" fontId="6" fillId="2" borderId="16" applyAlignment="1" pivotButton="0" quotePrefix="0" xfId="0">
      <alignment horizontal="center"/>
    </xf>
    <xf numFmtId="0" fontId="5" fillId="0" borderId="0" pivotButton="0" quotePrefix="0" xfId="0"/>
    <xf numFmtId="0" fontId="7" fillId="2" borderId="16" applyAlignment="1" pivotButton="0" quotePrefix="0" xfId="0">
      <alignment horizontal="center"/>
    </xf>
    <xf numFmtId="0" fontId="4" fillId="0" borderId="0" pivotButton="0" quotePrefix="0" xfId="0"/>
    <xf numFmtId="2" fontId="6" fillId="2" borderId="5" applyAlignment="1" pivotButton="0" quotePrefix="0" xfId="0">
      <alignment horizontal="centerContinuous"/>
    </xf>
    <xf numFmtId="2" fontId="6" fillId="2" borderId="7" applyAlignment="1" pivotButton="0" quotePrefix="0" xfId="0">
      <alignment horizontal="centerContinuous"/>
    </xf>
    <xf numFmtId="0" fontId="7" fillId="2" borderId="5" applyAlignment="1" pivotButton="0" quotePrefix="0" xfId="0">
      <alignment horizontal="centerContinuous"/>
    </xf>
    <xf numFmtId="0" fontId="7" fillId="2" borderId="6" applyAlignment="1" pivotButton="0" quotePrefix="0" xfId="0">
      <alignment horizontal="centerContinuous"/>
    </xf>
    <xf numFmtId="0" fontId="7" fillId="2" borderId="7" applyAlignment="1" pivotButton="0" quotePrefix="0" xfId="0">
      <alignment horizontal="centerContinuous"/>
    </xf>
    <xf numFmtId="0" fontId="2" fillId="0" borderId="0" pivotButton="0" quotePrefix="0" xfId="0"/>
    <xf numFmtId="1" fontId="4" fillId="2" borderId="16" applyAlignment="1" pivotButton="0" quotePrefix="0" xfId="0">
      <alignment horizontal="center"/>
    </xf>
    <xf numFmtId="0" fontId="4" fillId="0" borderId="0" applyAlignment="1" pivotButton="0" quotePrefix="0" xfId="0">
      <alignment horizontal="center"/>
    </xf>
    <xf numFmtId="2" fontId="4" fillId="7" borderId="16" applyAlignment="1" pivotButton="0" quotePrefix="0" xfId="0">
      <alignment horizontal="right"/>
    </xf>
    <xf numFmtId="1" fontId="0" fillId="2" borderId="16" pivotButton="0" quotePrefix="0" xfId="0"/>
    <xf numFmtId="1" fontId="0" fillId="7" borderId="16" pivotButton="0" quotePrefix="0" xfId="0"/>
    <xf numFmtId="0" fontId="0" fillId="2" borderId="16" pivotButton="0" quotePrefix="0" xfId="0"/>
    <xf numFmtId="0" fontId="4" fillId="7" borderId="16" applyAlignment="1" pivotButton="0" quotePrefix="0" xfId="0">
      <alignment horizontal="center"/>
    </xf>
    <xf numFmtId="2" fontId="4" fillId="2" borderId="16" applyAlignment="1" pivotButton="0" quotePrefix="0" xfId="0">
      <alignment horizontal="right"/>
    </xf>
    <xf numFmtId="1" fontId="4" fillId="7" borderId="16" applyAlignment="1" pivotButton="0" quotePrefix="0" xfId="0">
      <alignment horizontal="right"/>
    </xf>
    <xf numFmtId="0" fontId="7" fillId="2" borderId="12" applyAlignment="1" pivotButton="0" quotePrefix="0" xfId="0">
      <alignment horizontal="center"/>
    </xf>
    <xf numFmtId="0" fontId="7" fillId="2" borderId="5" applyAlignment="1" pivotButton="0" quotePrefix="0" xfId="0">
      <alignment horizontal="center"/>
    </xf>
    <xf numFmtId="0" fontId="4" fillId="5" borderId="0" pivotButton="0" quotePrefix="0" xfId="0"/>
    <xf numFmtId="0" fontId="4" fillId="5" borderId="6" pivotButton="0" quotePrefix="0" xfId="0"/>
    <xf numFmtId="2" fontId="7" fillId="8" borderId="5" applyAlignment="1" pivotButton="0" quotePrefix="0" xfId="0">
      <alignment horizontal="centerContinuous"/>
    </xf>
    <xf numFmtId="2" fontId="7" fillId="8" borderId="6" applyAlignment="1" pivotButton="0" quotePrefix="0" xfId="0">
      <alignment horizontal="centerContinuous"/>
    </xf>
    <xf numFmtId="2" fontId="7" fillId="8" borderId="7" applyAlignment="1" pivotButton="0" quotePrefix="0" xfId="0">
      <alignment horizontal="centerContinuous"/>
    </xf>
    <xf numFmtId="0" fontId="0" fillId="7" borderId="16" pivotButton="0" quotePrefix="0" xfId="0"/>
    <xf numFmtId="2" fontId="4" fillId="7" borderId="16" applyAlignment="1" pivotButton="0" quotePrefix="0" xfId="0">
      <alignment horizontal="center"/>
    </xf>
    <xf numFmtId="0" fontId="4" fillId="0" borderId="16" applyAlignment="1" pivotButton="0" quotePrefix="0" xfId="0">
      <alignment horizontal="center"/>
    </xf>
    <xf numFmtId="10" fontId="0" fillId="7" borderId="16" pivotButton="0" quotePrefix="0" xfId="0"/>
    <xf numFmtId="0" fontId="7" fillId="7" borderId="5" applyAlignment="1" pivotButton="0" quotePrefix="0" xfId="0">
      <alignment horizontal="centerContinuous"/>
    </xf>
    <xf numFmtId="0" fontId="7" fillId="7" borderId="6" applyAlignment="1" pivotButton="0" quotePrefix="0" xfId="0">
      <alignment horizontal="centerContinuous"/>
    </xf>
    <xf numFmtId="0" fontId="7" fillId="7" borderId="7" applyAlignment="1" pivotButton="0" quotePrefix="0" xfId="0">
      <alignment horizontal="centerContinuous"/>
    </xf>
    <xf numFmtId="0" fontId="4" fillId="2" borderId="16" pivotButton="0" quotePrefix="0" xfId="0"/>
    <xf numFmtId="0" fontId="8" fillId="2" borderId="32" pivotButton="0" quotePrefix="0" xfId="0"/>
    <xf numFmtId="0" fontId="0" fillId="2" borderId="13" pivotButton="0" quotePrefix="0" xfId="0"/>
    <xf numFmtId="0" fontId="0" fillId="2" borderId="15" pivotButton="0" quotePrefix="0" xfId="0"/>
    <xf numFmtId="0" fontId="6" fillId="2" borderId="32" applyAlignment="1" pivotButton="0" quotePrefix="0" xfId="0">
      <alignment horizontal="centerContinuous"/>
    </xf>
    <xf numFmtId="0" fontId="6" fillId="2" borderId="13" applyAlignment="1" pivotButton="0" quotePrefix="0" xfId="0">
      <alignment horizontal="centerContinuous"/>
    </xf>
    <xf numFmtId="0" fontId="6" fillId="2" borderId="15" applyAlignment="1" pivotButton="0" quotePrefix="0" xfId="0">
      <alignment horizontal="centerContinuous"/>
    </xf>
    <xf numFmtId="0" fontId="7" fillId="2" borderId="33" applyAlignment="1" pivotButton="0" quotePrefix="0" xfId="0">
      <alignment horizontal="center" textRotation="90" wrapText="1"/>
    </xf>
    <xf numFmtId="0" fontId="6" fillId="2" borderId="33" applyAlignment="1" pivotButton="0" quotePrefix="0" xfId="0">
      <alignment horizontal="center" textRotation="90" wrapText="1"/>
    </xf>
    <xf numFmtId="0" fontId="6" fillId="2" borderId="32" applyAlignment="1" pivotButton="0" quotePrefix="0" xfId="0">
      <alignment horizontal="center" textRotation="90" wrapText="1"/>
    </xf>
    <xf numFmtId="0" fontId="6" fillId="2" borderId="33" pivotButton="0" quotePrefix="0" xfId="0"/>
    <xf numFmtId="0" fontId="7" fillId="2" borderId="33" applyAlignment="1" pivotButton="0" quotePrefix="0" xfId="0">
      <alignment horizontal="center" textRotation="90"/>
    </xf>
    <xf numFmtId="2" fontId="6" fillId="2" borderId="12" applyAlignment="1" pivotButton="0" quotePrefix="0" xfId="0">
      <alignment horizontal="center" textRotation="90" wrapText="1"/>
    </xf>
    <xf numFmtId="0" fontId="6" fillId="2" borderId="12" applyAlignment="1" pivotButton="0" quotePrefix="0" xfId="0">
      <alignment horizontal="center" textRotation="90" wrapText="1"/>
    </xf>
    <xf numFmtId="0" fontId="6" fillId="2" borderId="12" applyAlignment="1" pivotButton="0" quotePrefix="0" xfId="0">
      <alignment horizontal="center" textRotation="90"/>
    </xf>
    <xf numFmtId="0" fontId="7" fillId="2" borderId="12" applyAlignment="1" pivotButton="0" quotePrefix="0" xfId="0">
      <alignment horizontal="center" textRotation="90"/>
    </xf>
    <xf numFmtId="0" fontId="1" fillId="0" borderId="0" applyAlignment="1" pivotButton="0" quotePrefix="0" xfId="0">
      <alignment horizontal="center"/>
    </xf>
    <xf numFmtId="1" fontId="7" fillId="2" borderId="33" applyAlignment="1" pivotButton="0" quotePrefix="0" xfId="0">
      <alignment horizontal="center" textRotation="90" wrapText="1"/>
    </xf>
    <xf numFmtId="0" fontId="4" fillId="0" borderId="0" applyAlignment="1" pivotButton="0" quotePrefix="0" xfId="0">
      <alignment horizontal="center" textRotation="90"/>
    </xf>
    <xf numFmtId="2" fontId="6" fillId="7" borderId="33" applyAlignment="1" pivotButton="0" quotePrefix="0" xfId="0">
      <alignment horizontal="center" textRotation="90"/>
    </xf>
    <xf numFmtId="1" fontId="7" fillId="2" borderId="33" applyAlignment="1" pivotButton="0" quotePrefix="0" xfId="0">
      <alignment horizontal="center" textRotation="90"/>
    </xf>
    <xf numFmtId="1" fontId="7" fillId="7" borderId="33" applyAlignment="1" pivotButton="0" quotePrefix="0" xfId="0">
      <alignment horizontal="center" textRotation="90"/>
    </xf>
    <xf numFmtId="0" fontId="7" fillId="7" borderId="33" applyAlignment="1" pivotButton="0" quotePrefix="0" xfId="0">
      <alignment horizontal="center" textRotation="90" wrapText="1"/>
    </xf>
    <xf numFmtId="2" fontId="6" fillId="2" borderId="33" applyAlignment="1" pivotButton="0" quotePrefix="0" xfId="0">
      <alignment horizontal="center" textRotation="90" wrapText="1"/>
    </xf>
    <xf numFmtId="1" fontId="6" fillId="7" borderId="33" applyAlignment="1" pivotButton="0" quotePrefix="0" xfId="0">
      <alignment horizontal="center" textRotation="90"/>
    </xf>
    <xf numFmtId="9" fontId="7" fillId="2" borderId="33" applyAlignment="1" pivotButton="0" quotePrefix="0" xfId="0">
      <alignment horizontal="center" textRotation="90" wrapText="1"/>
    </xf>
    <xf numFmtId="11" fontId="7" fillId="7" borderId="33" applyAlignment="1" pivotButton="0" quotePrefix="0" xfId="0">
      <alignment horizontal="center" textRotation="90" wrapText="1"/>
    </xf>
    <xf numFmtId="11" fontId="7" fillId="7" borderId="33" applyAlignment="1" pivotButton="0" quotePrefix="0" xfId="0">
      <alignment horizontal="center" textRotation="90"/>
    </xf>
    <xf numFmtId="2" fontId="7" fillId="2" borderId="33" applyAlignment="1" pivotButton="0" quotePrefix="0" xfId="0">
      <alignment horizontal="center" textRotation="90" wrapText="1"/>
    </xf>
    <xf numFmtId="2" fontId="7" fillId="7" borderId="33" applyAlignment="1" pivotButton="0" quotePrefix="0" xfId="0">
      <alignment horizontal="center" textRotation="90" wrapText="1"/>
    </xf>
    <xf numFmtId="0" fontId="7" fillId="0" borderId="33" applyAlignment="1" pivotButton="0" quotePrefix="0" xfId="0">
      <alignment horizontal="center" textRotation="90" wrapText="1"/>
    </xf>
    <xf numFmtId="1" fontId="7" fillId="7" borderId="33" applyAlignment="1" pivotButton="0" quotePrefix="0" xfId="0">
      <alignment horizontal="center" textRotation="90" wrapText="1"/>
    </xf>
    <xf numFmtId="10" fontId="7" fillId="7" borderId="33" applyAlignment="1" pivotButton="0" quotePrefix="0" xfId="0">
      <alignment horizontal="center" textRotation="90" wrapText="1"/>
    </xf>
    <xf numFmtId="0" fontId="7" fillId="7" borderId="12" applyAlignment="1" pivotButton="0" quotePrefix="0" xfId="0">
      <alignment horizontal="center" textRotation="90" wrapText="1"/>
    </xf>
    <xf numFmtId="0" fontId="7" fillId="2" borderId="33" applyAlignment="1" pivotButton="0" quotePrefix="0" xfId="0">
      <alignment horizontal="center"/>
    </xf>
    <xf numFmtId="0" fontId="7" fillId="2" borderId="12" applyAlignment="1" pivotButton="0" quotePrefix="0" xfId="0">
      <alignment horizontal="center" textRotation="90" wrapText="1"/>
    </xf>
    <xf numFmtId="0" fontId="0" fillId="0" borderId="0" applyAlignment="1" pivotButton="0" quotePrefix="0" xfId="0">
      <alignment horizontal="left"/>
    </xf>
    <xf numFmtId="2" fontId="0" fillId="0" borderId="0" applyAlignment="1" pivotButton="0" quotePrefix="0" xfId="0">
      <alignment horizontal="center"/>
    </xf>
    <xf numFmtId="0" fontId="0" fillId="0" borderId="0" applyAlignment="1" pivotButton="0" quotePrefix="0" xfId="0">
      <alignment horizontal="center"/>
    </xf>
    <xf numFmtId="0" fontId="4" fillId="0" borderId="12" applyAlignment="1" pivotButton="0" quotePrefix="0" xfId="0">
      <alignment horizontal="center"/>
    </xf>
    <xf numFmtId="1" fontId="3" fillId="0" borderId="12" applyAlignment="1" pivotButton="0" quotePrefix="0" xfId="0">
      <alignment horizontal="center"/>
    </xf>
    <xf numFmtId="0" fontId="3" fillId="0" borderId="12" applyAlignment="1" pivotButton="0" quotePrefix="0" xfId="0">
      <alignment horizontal="center"/>
    </xf>
    <xf numFmtId="0" fontId="3" fillId="0" borderId="0" applyAlignment="1" pivotButton="0" quotePrefix="0" xfId="0">
      <alignment horizontal="center"/>
    </xf>
    <xf numFmtId="11" fontId="3" fillId="0" borderId="12" applyAlignment="1" pivotButton="0" quotePrefix="0" xfId="0">
      <alignment horizontal="center"/>
    </xf>
    <xf numFmtId="2" fontId="3" fillId="0" borderId="12" applyAlignment="1" pivotButton="0" quotePrefix="0" xfId="0">
      <alignment horizontal="center"/>
    </xf>
    <xf numFmtId="0" fontId="0" fillId="0" borderId="12" applyAlignment="1" pivotButton="0" quotePrefix="0" xfId="0">
      <alignment horizontal="center"/>
    </xf>
    <xf numFmtId="2" fontId="0" fillId="0" borderId="12" applyAlignment="1" pivotButton="0" quotePrefix="1" xfId="0">
      <alignment horizontal="center"/>
    </xf>
    <xf numFmtId="10" fontId="3" fillId="0" borderId="12" applyAlignment="1" pivotButton="0" quotePrefix="0" xfId="0">
      <alignment horizontal="center"/>
    </xf>
    <xf numFmtId="11" fontId="3" fillId="0" borderId="12" applyAlignment="1" pivotButton="0" quotePrefix="1" xfId="0">
      <alignment horizontal="center"/>
    </xf>
    <xf numFmtId="0" fontId="0" fillId="6" borderId="0" applyAlignment="1" pivotButton="0" quotePrefix="0" xfId="0">
      <alignment horizontal="center"/>
    </xf>
    <xf numFmtId="0" fontId="0" fillId="0" borderId="0" applyAlignment="1" pivotButton="0" quotePrefix="0" xfId="0">
      <alignment horizontal="center"/>
    </xf>
    <xf numFmtId="0" fontId="0" fillId="6" borderId="0" pivotButton="0" quotePrefix="0" xfId="0"/>
    <xf numFmtId="11" fontId="4" fillId="0" borderId="16" applyAlignment="1" pivotButton="0" quotePrefix="0" xfId="0">
      <alignment horizontal="center" vertical="center"/>
    </xf>
    <xf numFmtId="1" fontId="0" fillId="0" borderId="0" applyAlignment="1" pivotButton="0" quotePrefix="0" xfId="0">
      <alignment vertical="center"/>
    </xf>
    <xf numFmtId="2" fontId="0" fillId="0" borderId="0" applyAlignment="1" pivotButton="0" quotePrefix="0" xfId="0">
      <alignment vertical="center"/>
    </xf>
    <xf numFmtId="0" fontId="0" fillId="0" borderId="0" applyAlignment="1" pivotButton="0" quotePrefix="0" xfId="0">
      <alignment vertical="center"/>
    </xf>
    <xf numFmtId="11" fontId="4" fillId="9" borderId="34" applyAlignment="1" applyProtection="1" pivotButton="0" quotePrefix="0" xfId="0">
      <alignment horizontal="center" vertical="center"/>
      <protection locked="0" hidden="0"/>
    </xf>
    <xf numFmtId="0" fontId="4" fillId="9" borderId="35" applyAlignment="1" applyProtection="1" pivotButton="0" quotePrefix="0" xfId="0">
      <alignment horizontal="center" vertical="center" wrapText="1"/>
      <protection locked="0" hidden="0"/>
    </xf>
    <xf numFmtId="0" fontId="4" fillId="9" borderId="4" applyAlignment="1" applyProtection="1" pivotButton="0" quotePrefix="0" xfId="0">
      <alignment horizontal="center" vertical="center" wrapText="1"/>
      <protection locked="0" hidden="0"/>
    </xf>
    <xf numFmtId="0" fontId="4" fillId="9" borderId="4" applyAlignment="1" applyProtection="1" pivotButton="0" quotePrefix="0" xfId="0">
      <alignment horizontal="center" vertical="center"/>
      <protection locked="0" hidden="0"/>
    </xf>
    <xf numFmtId="1" fontId="4" fillId="9" borderId="35" applyAlignment="1" applyProtection="1" pivotButton="0" quotePrefix="0" xfId="0">
      <alignment horizontal="center" vertical="center" wrapText="1"/>
      <protection locked="0" hidden="0"/>
    </xf>
    <xf numFmtId="0" fontId="4" fillId="9" borderId="4" applyAlignment="1" applyProtection="1" pivotButton="0" quotePrefix="0" xfId="0">
      <alignment horizontal="center" vertical="center"/>
      <protection locked="0" hidden="0"/>
    </xf>
    <xf numFmtId="1" fontId="4" fillId="9" borderId="35" applyAlignment="1" applyProtection="1" pivotButton="0" quotePrefix="0" xfId="0">
      <alignment horizontal="center" vertical="center"/>
      <protection locked="0" hidden="0"/>
    </xf>
    <xf numFmtId="0" fontId="4" fillId="9" borderId="35" applyAlignment="1" applyProtection="1" pivotButton="0" quotePrefix="0" xfId="0">
      <alignment horizontal="center" vertical="center"/>
      <protection locked="0" hidden="0"/>
    </xf>
    <xf numFmtId="0" fontId="4" fillId="9" borderId="36" applyAlignment="1" applyProtection="1" pivotButton="0" quotePrefix="0" xfId="0">
      <alignment horizontal="center" vertical="center"/>
      <protection locked="0" hidden="0"/>
    </xf>
    <xf numFmtId="11" fontId="4" fillId="9" borderId="37" applyAlignment="1" applyProtection="1" pivotButton="0" quotePrefix="0" xfId="0">
      <alignment horizontal="center" vertical="center"/>
      <protection locked="0" hidden="0"/>
    </xf>
    <xf numFmtId="0" fontId="4" fillId="9" borderId="12" applyAlignment="1" applyProtection="1" pivotButton="0" quotePrefix="0" xfId="0">
      <alignment horizontal="center" vertical="center" wrapText="1"/>
      <protection locked="0" hidden="0"/>
    </xf>
    <xf numFmtId="0" fontId="4" fillId="9" borderId="0" applyAlignment="1" applyProtection="1" pivotButton="0" quotePrefix="0" xfId="0">
      <alignment horizontal="center" vertical="center" wrapText="1"/>
      <protection locked="0" hidden="0"/>
    </xf>
    <xf numFmtId="0" fontId="4" fillId="9" borderId="0" applyAlignment="1" applyProtection="1" pivotButton="0" quotePrefix="0" xfId="0">
      <alignment horizontal="center" vertical="center"/>
      <protection locked="0" hidden="0"/>
    </xf>
    <xf numFmtId="1" fontId="4" fillId="9" borderId="12" applyAlignment="1" applyProtection="1" pivotButton="0" quotePrefix="0" xfId="0">
      <alignment horizontal="center" vertical="center" wrapText="1"/>
      <protection locked="0" hidden="0"/>
    </xf>
    <xf numFmtId="0" fontId="4" fillId="9" borderId="0" applyAlignment="1" applyProtection="1" pivotButton="0" quotePrefix="0" xfId="0">
      <alignment horizontal="center" vertical="center"/>
      <protection locked="0" hidden="0"/>
    </xf>
    <xf numFmtId="1" fontId="4" fillId="9" borderId="12" applyAlignment="1" applyProtection="1" pivotButton="0" quotePrefix="0" xfId="0">
      <alignment horizontal="center" vertical="center"/>
      <protection locked="0" hidden="0"/>
    </xf>
    <xf numFmtId="0" fontId="4" fillId="9" borderId="12" applyAlignment="1" applyProtection="1" pivotButton="0" quotePrefix="0" xfId="0">
      <alignment horizontal="center" vertical="center"/>
      <protection locked="0" hidden="0"/>
    </xf>
    <xf numFmtId="0" fontId="4" fillId="9" borderId="38" applyAlignment="1" applyProtection="1" pivotButton="0" quotePrefix="0" xfId="0">
      <alignment horizontal="center" vertical="center"/>
      <protection locked="0" hidden="0"/>
    </xf>
    <xf numFmtId="0" fontId="4" fillId="9" borderId="17" applyAlignment="1" applyProtection="1" pivotButton="0" quotePrefix="0" xfId="0">
      <alignment horizontal="center" vertical="center" wrapText="1"/>
      <protection locked="0" hidden="0"/>
    </xf>
    <xf numFmtId="0" fontId="4" fillId="9" borderId="1" applyAlignment="1" applyProtection="1" pivotButton="0" quotePrefix="0" xfId="0">
      <alignment horizontal="center" vertical="center" wrapText="1"/>
      <protection locked="0" hidden="0"/>
    </xf>
    <xf numFmtId="0" fontId="4" fillId="9" borderId="1" applyAlignment="1" applyProtection="1" pivotButton="0" quotePrefix="0" xfId="0">
      <alignment horizontal="center" vertical="center"/>
      <protection locked="0" hidden="0"/>
    </xf>
    <xf numFmtId="1" fontId="4" fillId="9" borderId="17" applyAlignment="1" applyProtection="1" pivotButton="0" quotePrefix="0" xfId="0">
      <alignment horizontal="center" vertical="center" wrapText="1"/>
      <protection locked="0" hidden="0"/>
    </xf>
    <xf numFmtId="0" fontId="4" fillId="9" borderId="1" applyAlignment="1" applyProtection="1" pivotButton="0" quotePrefix="0" xfId="0">
      <alignment horizontal="center" vertical="center"/>
      <protection locked="0" hidden="0"/>
    </xf>
    <xf numFmtId="1" fontId="4" fillId="9" borderId="17" applyAlignment="1" applyProtection="1" pivotButton="0" quotePrefix="0" xfId="0">
      <alignment horizontal="center" vertical="center"/>
      <protection locked="0" hidden="0"/>
    </xf>
    <xf numFmtId="0" fontId="4" fillId="9" borderId="17" applyAlignment="1" applyProtection="1" pivotButton="0" quotePrefix="0" xfId="0">
      <alignment horizontal="center" vertical="center"/>
      <protection locked="0" hidden="0"/>
    </xf>
    <xf numFmtId="0" fontId="4" fillId="9" borderId="39" applyAlignment="1" applyProtection="1" pivotButton="0" quotePrefix="0" xfId="0">
      <alignment horizontal="center" vertical="center"/>
      <protection locked="0" hidden="0"/>
    </xf>
    <xf numFmtId="0" fontId="12" fillId="10" borderId="5" applyAlignment="1" pivotButton="0" quotePrefix="0" xfId="0">
      <alignment horizontal="left"/>
    </xf>
    <xf numFmtId="0" fontId="12" fillId="10" borderId="6" applyAlignment="1" pivotButton="0" quotePrefix="0" xfId="0">
      <alignment horizontal="left"/>
    </xf>
    <xf numFmtId="0" fontId="13" fillId="10" borderId="6" pivotButton="0" quotePrefix="0" xfId="0"/>
    <xf numFmtId="0" fontId="14" fillId="10" borderId="7" applyAlignment="1" pivotButton="0" quotePrefix="0" xfId="0">
      <alignment horizontal="left"/>
    </xf>
    <xf numFmtId="22" fontId="15" fillId="10" borderId="6" applyAlignment="1" pivotButton="0" quotePrefix="0" xfId="0">
      <alignment horizontal="center"/>
    </xf>
    <xf numFmtId="0" fontId="13" fillId="10" borderId="6" pivotButton="0" quotePrefix="0" xfId="0"/>
    <xf numFmtId="164" fontId="13" fillId="10" borderId="6" pivotButton="0" quotePrefix="0" xfId="0"/>
    <xf numFmtId="0" fontId="12" fillId="10" borderId="6" pivotButton="0" quotePrefix="0" xfId="0"/>
    <xf numFmtId="0" fontId="12" fillId="10" borderId="6" applyAlignment="1" pivotButton="0" quotePrefix="0" xfId="0">
      <alignment horizontal="center"/>
    </xf>
    <xf numFmtId="0" fontId="13" fillId="10" borderId="6" applyAlignment="1" pivotButton="0" quotePrefix="0" xfId="0">
      <alignment horizontal="center"/>
    </xf>
    <xf numFmtId="0" fontId="4" fillId="10" borderId="6" applyAlignment="1" pivotButton="0" quotePrefix="0" xfId="0">
      <alignment horizontal="center"/>
    </xf>
    <xf numFmtId="0" fontId="12" fillId="10" borderId="6" applyAlignment="1" pivotButton="0" quotePrefix="0" xfId="0">
      <alignment horizontal="left"/>
    </xf>
    <xf numFmtId="0" fontId="14" fillId="10" borderId="7" applyAlignment="1" pivotButton="0" quotePrefix="0" xfId="0">
      <alignment horizontal="right"/>
    </xf>
    <xf numFmtId="0" fontId="4" fillId="0" borderId="0" pivotButton="0" quotePrefix="0" xfId="0"/>
    <xf numFmtId="0" fontId="4" fillId="0" borderId="0" applyAlignment="1" pivotButton="0" quotePrefix="0" xfId="0">
      <alignment horizontal="center"/>
    </xf>
    <xf numFmtId="164" fontId="4" fillId="0" borderId="0" pivotButton="0" quotePrefix="0" xfId="0"/>
    <xf numFmtId="0" fontId="5" fillId="0" borderId="0" pivotButton="0" quotePrefix="0" xfId="0"/>
    <xf numFmtId="0" fontId="5" fillId="0" borderId="0" applyAlignment="1" pivotButton="0" quotePrefix="0" xfId="0">
      <alignment horizontal="center"/>
    </xf>
    <xf numFmtId="1" fontId="4" fillId="0" borderId="0" applyAlignment="1" pivotButton="0" quotePrefix="0" xfId="0">
      <alignment horizontal="right"/>
    </xf>
    <xf numFmtId="0" fontId="7" fillId="2" borderId="12" applyAlignment="1" pivotButton="0" quotePrefix="0" xfId="0">
      <alignment horizontal="centerContinuous"/>
    </xf>
    <xf numFmtId="0" fontId="6" fillId="2" borderId="5" applyAlignment="1" pivotButton="0" quotePrefix="0" xfId="0">
      <alignment horizontal="centerContinuous"/>
    </xf>
    <xf numFmtId="0" fontId="6" fillId="2" borderId="7" applyAlignment="1" pivotButton="0" quotePrefix="0" xfId="0">
      <alignment horizontal="centerContinuous"/>
    </xf>
    <xf numFmtId="0" fontId="6" fillId="2" borderId="6" applyAlignment="1" pivotButton="0" quotePrefix="0" xfId="0">
      <alignment horizontal="centerContinuous"/>
    </xf>
    <xf numFmtId="0" fontId="7" fillId="2" borderId="33" applyAlignment="1" pivotButton="0" quotePrefix="0" xfId="0">
      <alignment horizontal="center" vertical="center" textRotation="90" wrapText="1"/>
    </xf>
    <xf numFmtId="0" fontId="6" fillId="2" borderId="12" applyAlignment="1" pivotButton="0" quotePrefix="0" xfId="0">
      <alignment horizontal="center" vertical="center" textRotation="90" wrapText="1"/>
    </xf>
    <xf numFmtId="0" fontId="6" fillId="2" borderId="12" applyAlignment="1" pivotButton="0" quotePrefix="0" xfId="0">
      <alignment horizontal="center" vertical="center" textRotation="90"/>
    </xf>
    <xf numFmtId="0" fontId="6" fillId="2" borderId="33" applyAlignment="1" pivotButton="0" quotePrefix="0" xfId="0">
      <alignment horizontal="center"/>
    </xf>
    <xf numFmtId="164" fontId="6" fillId="2" borderId="32" applyAlignment="1" pivotButton="0" quotePrefix="0" xfId="0">
      <alignment textRotation="90" wrapText="1"/>
    </xf>
    <xf numFmtId="0" fontId="1" fillId="0" borderId="0" pivotButton="0" quotePrefix="0" xfId="0"/>
    <xf numFmtId="0" fontId="4" fillId="0" borderId="0" pivotButton="0" quotePrefix="0" xfId="0"/>
    <xf numFmtId="0" fontId="4" fillId="0" borderId="0" applyAlignment="1" pivotButton="0" quotePrefix="0" xfId="0">
      <alignment horizontal="right"/>
    </xf>
    <xf numFmtId="0" fontId="4" fillId="0" borderId="13" pivotButton="0" quotePrefix="0" xfId="0"/>
    <xf numFmtId="0" fontId="4" fillId="0" borderId="12" pivotButton="0" quotePrefix="1" xfId="0"/>
    <xf numFmtId="0" fontId="4" fillId="0" borderId="12" pivotButton="0" quotePrefix="0" xfId="0"/>
    <xf numFmtId="0" fontId="4" fillId="0" borderId="7" pivotButton="0" quotePrefix="0" xfId="0"/>
    <xf numFmtId="0" fontId="4" fillId="0" borderId="12" applyAlignment="1" pivotButton="0" quotePrefix="0" xfId="0">
      <alignment horizontal="center"/>
    </xf>
    <xf numFmtId="0" fontId="4" fillId="0" borderId="12" applyAlignment="1" pivotButton="0" quotePrefix="0" xfId="0">
      <alignment horizontal="left"/>
    </xf>
    <xf numFmtId="164" fontId="4" fillId="0" borderId="12" applyAlignment="1" pivotButton="0" quotePrefix="0" xfId="0">
      <alignment horizontal="center"/>
    </xf>
    <xf numFmtId="1" fontId="4" fillId="8" borderId="12" applyAlignment="1" pivotButton="0" quotePrefix="0" xfId="0">
      <alignment horizontal="right"/>
    </xf>
    <xf numFmtId="0" fontId="4" fillId="0" borderId="12" applyAlignment="1" pivotButton="0" quotePrefix="0" xfId="0">
      <alignment horizontal="center"/>
    </xf>
    <xf numFmtId="0" fontId="4" fillId="5" borderId="12" pivotButton="0" quotePrefix="0" xfId="0"/>
    <xf numFmtId="0" fontId="4" fillId="0" borderId="12" applyAlignment="1" pivotButton="0" quotePrefix="1" xfId="0">
      <alignment horizontal="left"/>
    </xf>
    <xf numFmtId="0" fontId="0" fillId="0" borderId="5" pivotButton="0" quotePrefix="0" xfId="0"/>
    <xf numFmtId="0" fontId="0" fillId="0" borderId="6" pivotButton="0" quotePrefix="0" xfId="0"/>
    <xf numFmtId="164" fontId="0" fillId="0" borderId="6" pivotButton="0" quotePrefix="0" xfId="0"/>
    <xf numFmtId="0" fontId="0" fillId="0" borderId="6" applyAlignment="1" pivotButton="0" quotePrefix="0" xfId="0">
      <alignment horizontal="center"/>
    </xf>
    <xf numFmtId="0" fontId="4" fillId="0" borderId="6" applyAlignment="1" pivotButton="0" quotePrefix="0" xfId="0">
      <alignment horizontal="center"/>
    </xf>
    <xf numFmtId="0" fontId="4" fillId="0" borderId="7" applyAlignment="1" pivotButton="0" quotePrefix="0" xfId="0">
      <alignment horizontal="center"/>
    </xf>
    <xf numFmtId="1" fontId="3" fillId="8" borderId="7" applyAlignment="1" pivotButton="0" quotePrefix="0" xfId="0">
      <alignment horizontal="right"/>
    </xf>
    <xf numFmtId="14" fontId="21" fillId="5" borderId="0" applyAlignment="1" pivotButton="0" quotePrefix="0" xfId="0">
      <alignment horizontal="center"/>
    </xf>
    <xf numFmtId="0" fontId="12" fillId="10" borderId="13" applyAlignment="1" pivotButton="0" quotePrefix="0" xfId="0">
      <alignment horizontal="left"/>
    </xf>
    <xf numFmtId="0" fontId="14" fillId="10" borderId="6" applyAlignment="1" pivotButton="0" quotePrefix="0" xfId="0">
      <alignment horizontal="left"/>
    </xf>
    <xf numFmtId="1" fontId="4" fillId="10" borderId="6" applyAlignment="1" pivotButton="0" quotePrefix="0" xfId="0">
      <alignment horizontal="center"/>
    </xf>
    <xf numFmtId="1" fontId="12" fillId="10" borderId="6" applyAlignment="1" pivotButton="0" quotePrefix="0" xfId="0">
      <alignment horizontal="center"/>
    </xf>
    <xf numFmtId="0" fontId="14" fillId="10" borderId="6" applyAlignment="1" pivotButton="0" quotePrefix="0" xfId="0">
      <alignment horizontal="centerContinuous"/>
    </xf>
    <xf numFmtId="0" fontId="13" fillId="10" borderId="6" applyAlignment="1" pivotButton="0" quotePrefix="0" xfId="0">
      <alignment horizontal="centerContinuous"/>
    </xf>
    <xf numFmtId="0" fontId="14" fillId="10" borderId="6" applyAlignment="1" pivotButton="0" quotePrefix="0" xfId="0">
      <alignment horizontal="right"/>
    </xf>
    <xf numFmtId="0" fontId="5" fillId="0" borderId="0" applyAlignment="1" pivotButton="0" quotePrefix="0" xfId="0">
      <alignment horizontal="right"/>
    </xf>
    <xf numFmtId="1" fontId="4" fillId="0" borderId="0" applyAlignment="1" pivotButton="0" quotePrefix="0" xfId="0">
      <alignment horizontal="center"/>
    </xf>
    <xf numFmtId="0" fontId="6" fillId="2" borderId="22" applyAlignment="1" pivotButton="0" quotePrefix="0" xfId="0">
      <alignment horizontal="right"/>
    </xf>
    <xf numFmtId="0" fontId="6" fillId="2" borderId="23" applyAlignment="1" pivotButton="0" quotePrefix="0" xfId="0">
      <alignment horizontal="right"/>
    </xf>
    <xf numFmtId="0" fontId="4" fillId="2" borderId="16" applyAlignment="1" pivotButton="0" quotePrefix="0" xfId="0">
      <alignment horizontal="center" wrapText="1"/>
    </xf>
    <xf numFmtId="0" fontId="6" fillId="2" borderId="12" applyAlignment="1" pivotButton="0" quotePrefix="0" xfId="0">
      <alignment horizontal="centerContinuous"/>
    </xf>
    <xf numFmtId="0" fontId="4" fillId="0" borderId="0" pivotButton="0" quotePrefix="0" xfId="0"/>
    <xf numFmtId="0" fontId="6" fillId="2" borderId="32" applyAlignment="1" pivotButton="0" quotePrefix="0" xfId="0">
      <alignment horizontal="center"/>
    </xf>
    <xf numFmtId="0" fontId="6" fillId="2" borderId="13" applyAlignment="1" pivotButton="0" quotePrefix="0" xfId="0">
      <alignment horizontal="center"/>
    </xf>
    <xf numFmtId="0" fontId="6" fillId="2" borderId="15" applyAlignment="1" pivotButton="0" quotePrefix="0" xfId="0">
      <alignment horizontal="center"/>
    </xf>
    <xf numFmtId="0" fontId="6" fillId="2" borderId="33" applyAlignment="1" pivotButton="0" quotePrefix="0" xfId="0">
      <alignment horizontal="center" textRotation="90"/>
    </xf>
    <xf numFmtId="0" fontId="7" fillId="2" borderId="33" applyAlignment="1" pivotButton="0" quotePrefix="1" xfId="0">
      <alignment horizontal="center" textRotation="90"/>
    </xf>
    <xf numFmtId="0" fontId="4" fillId="5" borderId="0" applyAlignment="1" pivotButton="0" quotePrefix="0" xfId="0">
      <alignment horizontal="center"/>
    </xf>
    <xf numFmtId="0" fontId="4" fillId="0" borderId="0" applyAlignment="1" pivotButton="0" quotePrefix="0" xfId="0">
      <alignment horizontal="center"/>
    </xf>
    <xf numFmtId="0" fontId="4" fillId="0" borderId="0" applyAlignment="1" pivotButton="0" quotePrefix="0" xfId="0">
      <alignment horizontal="right"/>
    </xf>
    <xf numFmtId="1" fontId="4" fillId="8" borderId="12" applyAlignment="1" applyProtection="1" pivotButton="0" quotePrefix="0" xfId="0">
      <alignment horizontal="right"/>
      <protection locked="1" hidden="1"/>
    </xf>
    <xf numFmtId="0" fontId="4" fillId="8" borderId="12" applyAlignment="1" pivotButton="0" quotePrefix="0" xfId="0">
      <alignment horizontal="center"/>
    </xf>
    <xf numFmtId="0" fontId="0" fillId="0" borderId="5" pivotButton="0" quotePrefix="0" xfId="0"/>
    <xf numFmtId="0" fontId="0" fillId="0" borderId="6" pivotButton="0" quotePrefix="0" xfId="0"/>
    <xf numFmtId="0" fontId="3" fillId="0" borderId="6" applyAlignment="1" pivotButton="0" quotePrefix="0" xfId="0">
      <alignment horizontal="center"/>
    </xf>
    <xf numFmtId="2" fontId="0" fillId="0" borderId="6" pivotButton="0" quotePrefix="0" xfId="0"/>
    <xf numFmtId="1" fontId="4" fillId="0" borderId="6" applyAlignment="1" pivotButton="0" quotePrefix="0" xfId="0">
      <alignment horizontal="center"/>
    </xf>
    <xf numFmtId="0" fontId="14" fillId="10" borderId="7" applyAlignment="1" pivotButton="0" quotePrefix="1" xfId="0">
      <alignment horizontal="left"/>
    </xf>
    <xf numFmtId="22" fontId="16" fillId="10" borderId="6" applyAlignment="1" pivotButton="0" quotePrefix="0" xfId="0">
      <alignment horizontal="center"/>
    </xf>
    <xf numFmtId="2" fontId="13" fillId="10" borderId="6" pivotButton="0" quotePrefix="0" xfId="0"/>
    <xf numFmtId="0" fontId="14" fillId="10" borderId="7" applyAlignment="1" pivotButton="0" quotePrefix="1" xfId="0">
      <alignment horizontal="right"/>
    </xf>
    <xf numFmtId="2" fontId="4" fillId="0" borderId="0" pivotButton="0" quotePrefix="0" xfId="0"/>
    <xf numFmtId="0" fontId="6" fillId="2" borderId="16" applyAlignment="1" pivotButton="0" quotePrefix="0" xfId="0">
      <alignment horizontal="centerContinuous"/>
    </xf>
    <xf numFmtId="1" fontId="4" fillId="8" borderId="16" applyAlignment="1" applyProtection="1" pivotButton="0" quotePrefix="0" xfId="0">
      <alignment horizontal="right"/>
      <protection locked="1" hidden="1"/>
    </xf>
    <xf numFmtId="0" fontId="4" fillId="8" borderId="16" applyAlignment="1" pivotButton="0" quotePrefix="0" xfId="0">
      <alignment horizontal="center"/>
    </xf>
    <xf numFmtId="0" fontId="6" fillId="2" borderId="32" applyAlignment="1" pivotButton="0" quotePrefix="0" xfId="0">
      <alignment horizontal="right"/>
    </xf>
    <xf numFmtId="0" fontId="6" fillId="2" borderId="13" applyAlignment="1" pivotButton="0" quotePrefix="0" xfId="0">
      <alignment horizontal="right"/>
    </xf>
    <xf numFmtId="0" fontId="6" fillId="2" borderId="12" applyAlignment="1" pivotButton="0" quotePrefix="1" xfId="0">
      <alignment horizontal="center" vertical="center" textRotation="90" wrapText="1"/>
    </xf>
    <xf numFmtId="1" fontId="7" fillId="8" borderId="33" applyAlignment="1" applyProtection="1" pivotButton="0" quotePrefix="0" xfId="0">
      <alignment horizontal="center" textRotation="90"/>
      <protection locked="1" hidden="1"/>
    </xf>
    <xf numFmtId="0" fontId="7" fillId="8" borderId="33" applyAlignment="1" pivotButton="0" quotePrefix="0" xfId="0">
      <alignment horizontal="center" textRotation="90" wrapText="1"/>
    </xf>
    <xf numFmtId="0" fontId="4" fillId="0" borderId="13" applyAlignment="1" pivotButton="0" quotePrefix="0" xfId="0">
      <alignment horizontal="right"/>
    </xf>
    <xf numFmtId="2" fontId="4" fillId="0" borderId="12" applyAlignment="1" pivotButton="0" quotePrefix="0" xfId="0">
      <alignment horizontal="center"/>
    </xf>
    <xf numFmtId="0" fontId="4" fillId="0" borderId="6" applyAlignment="1" pivotButton="0" quotePrefix="0" xfId="0">
      <alignment horizontal="right"/>
    </xf>
    <xf numFmtId="2" fontId="4" fillId="0" borderId="0" applyAlignment="1" pivotButton="0" quotePrefix="0" xfId="0">
      <alignment horizontal="center"/>
    </xf>
    <xf numFmtId="0" fontId="4" fillId="0" borderId="36" applyAlignment="1" pivotButton="0" quotePrefix="0" xfId="0">
      <alignment horizontal="center" vertical="center"/>
    </xf>
    <xf numFmtId="0" fontId="4" fillId="0" borderId="38" applyAlignment="1" pivotButton="0" quotePrefix="0" xfId="0">
      <alignment horizontal="center" vertical="center"/>
    </xf>
    <xf numFmtId="0" fontId="4" fillId="0" borderId="39" applyAlignment="1" pivotButton="0" quotePrefix="0" xfId="0">
      <alignment horizontal="center" vertical="center"/>
    </xf>
    <xf numFmtId="0" fontId="4" fillId="0" borderId="31" applyAlignment="1" pivotButton="0" quotePrefix="0" xfId="0">
      <alignment horizontal="center" vertical="center"/>
    </xf>
    <xf numFmtId="0" fontId="4" fillId="0" borderId="7" applyAlignment="1" pivotButton="0" quotePrefix="0" xfId="0">
      <alignment horizontal="center" vertical="center"/>
    </xf>
    <xf numFmtId="0" fontId="4" fillId="0" borderId="28" applyAlignment="1" pivotButton="0" quotePrefix="0" xfId="0">
      <alignment horizontal="center" vertical="center"/>
    </xf>
    <xf numFmtId="11" fontId="4" fillId="11" borderId="37" applyAlignment="1" pivotButton="0" quotePrefix="0" xfId="0">
      <alignment horizontal="center" vertical="center"/>
    </xf>
    <xf numFmtId="0" fontId="4" fillId="11" borderId="12" applyAlignment="1" pivotButton="0" quotePrefix="0" xfId="0">
      <alignment horizontal="center" vertical="center" wrapText="1"/>
    </xf>
    <xf numFmtId="11" fontId="4" fillId="11" borderId="40" applyAlignment="1" pivotButton="0" quotePrefix="0" xfId="0">
      <alignment horizontal="center" vertical="center"/>
    </xf>
    <xf numFmtId="0" fontId="4" fillId="11" borderId="17" applyAlignment="1" pivotButton="0" quotePrefix="0" xfId="0">
      <alignment horizontal="center" vertical="center" wrapText="1"/>
    </xf>
    <xf numFmtId="0" fontId="23" fillId="0" borderId="0" pivotButton="0" quotePrefix="0" xfId="0"/>
    <xf numFmtId="0" fontId="24" fillId="0" borderId="0" pivotButton="0" quotePrefix="0" xfId="0"/>
    <xf numFmtId="0" fontId="25" fillId="0" borderId="0" pivotButton="0" quotePrefix="0" xfId="0"/>
    <xf numFmtId="0" fontId="25" fillId="0" borderId="0" applyAlignment="1" pivotButton="0" quotePrefix="0" xfId="0">
      <alignment vertical="top" wrapText="1"/>
    </xf>
    <xf numFmtId="0" fontId="37" fillId="12" borderId="0" applyAlignment="1" pivotButton="0" quotePrefix="0" xfId="0">
      <alignment horizontal="left" vertical="center" indent="1"/>
    </xf>
    <xf numFmtId="0" fontId="32" fillId="0" borderId="0" applyAlignment="1" pivotButton="0" quotePrefix="0" xfId="0">
      <alignment horizontal="left" vertical="center" indent="1"/>
    </xf>
    <xf numFmtId="165" fontId="32" fillId="0" borderId="0" applyAlignment="1" pivotButton="0" quotePrefix="0" xfId="0">
      <alignment horizontal="right" vertical="center"/>
    </xf>
    <xf numFmtId="0" fontId="34" fillId="13" borderId="43" applyAlignment="1" pivotButton="0" quotePrefix="0" xfId="0">
      <alignment horizontal="left" vertical="center" indent="1"/>
    </xf>
    <xf numFmtId="0" fontId="0" fillId="13" borderId="44" pivotButton="0" quotePrefix="0" xfId="0"/>
    <xf numFmtId="0" fontId="0" fillId="13" borderId="45" pivotButton="0" quotePrefix="0" xfId="0"/>
    <xf numFmtId="166" fontId="38" fillId="13" borderId="46" applyAlignment="1" pivotButton="0" quotePrefix="0" xfId="0">
      <alignment horizontal="left" vertical="center" indent="1"/>
    </xf>
    <xf numFmtId="0" fontId="0" fillId="13" borderId="47" pivotButton="0" quotePrefix="0" xfId="0"/>
    <xf numFmtId="0" fontId="0" fillId="13" borderId="48" pivotButton="0" quotePrefix="0" xfId="0"/>
    <xf numFmtId="167" fontId="38" fillId="13" borderId="46" applyAlignment="1" pivotButton="0" quotePrefix="0" xfId="0">
      <alignment horizontal="left" vertical="center" indent="1"/>
    </xf>
    <xf numFmtId="164" fontId="38" fillId="13" borderId="46" applyAlignment="1" pivotButton="0" quotePrefix="0" xfId="0">
      <alignment horizontal="left" vertical="center" indent="1"/>
    </xf>
    <xf numFmtId="0" fontId="39" fillId="13" borderId="49" applyAlignment="1" pivotButton="0" quotePrefix="0" xfId="0">
      <alignment horizontal="left" vertical="top" indent="1"/>
    </xf>
    <xf numFmtId="0" fontId="0" fillId="13" borderId="50" pivotButton="0" quotePrefix="0" xfId="0"/>
    <xf numFmtId="0" fontId="0" fillId="13" borderId="51" pivotButton="0" quotePrefix="0" xfId="0"/>
    <xf numFmtId="0" fontId="40" fillId="0" borderId="0" pivotButton="0" quotePrefix="0" xfId="0"/>
    <xf numFmtId="0" fontId="39" fillId="0" borderId="0" pivotButton="0" quotePrefix="0" xfId="0"/>
    <xf numFmtId="0" fontId="32" fillId="0" borderId="52" pivotButton="0" quotePrefix="0" xfId="0"/>
    <xf numFmtId="0" fontId="0" fillId="0" borderId="52" pivotButton="0" quotePrefix="0" xfId="0"/>
    <xf numFmtId="1" fontId="35" fillId="0" borderId="52" applyAlignment="1" pivotButton="0" quotePrefix="0" xfId="0">
      <alignment horizontal="right"/>
    </xf>
    <xf numFmtId="166" fontId="35" fillId="0" borderId="52" applyAlignment="1" pivotButton="0" quotePrefix="0" xfId="0">
      <alignment horizontal="right"/>
    </xf>
    <xf numFmtId="167" fontId="35" fillId="0" borderId="52" applyAlignment="1" pivotButton="0" quotePrefix="0" xfId="0">
      <alignment horizontal="right"/>
    </xf>
    <xf numFmtId="49" fontId="35" fillId="0" borderId="52" applyAlignment="1" pivotButton="0" quotePrefix="0" xfId="0">
      <alignment horizontal="right"/>
    </xf>
    <xf numFmtId="0" fontId="39" fillId="0" borderId="0" applyAlignment="1" pivotButton="0" quotePrefix="0" xfId="0">
      <alignment vertical="top" wrapText="1"/>
    </xf>
    <xf numFmtId="164" fontId="4" fillId="0" borderId="0" pivotButton="0" quotePrefix="0" xfId="0"/>
    <xf numFmtId="164" fontId="13" fillId="10" borderId="6" pivotButton="0" quotePrefix="0" xfId="0"/>
    <xf numFmtId="164" fontId="6" fillId="2" borderId="32" applyAlignment="1" pivotButton="0" quotePrefix="0" xfId="0">
      <alignment textRotation="90" wrapText="1"/>
    </xf>
    <xf numFmtId="0" fontId="4" fillId="0" borderId="12" applyProtection="1" pivotButton="0" quotePrefix="1" xfId="0">
      <protection locked="0" hidden="0"/>
    </xf>
    <xf numFmtId="0" fontId="4" fillId="0" borderId="12" applyProtection="1" pivotButton="0" quotePrefix="0" xfId="0">
      <protection locked="0" hidden="0"/>
    </xf>
    <xf numFmtId="0" fontId="4" fillId="0" borderId="7" applyProtection="1" pivotButton="0" quotePrefix="0" xfId="0">
      <protection locked="0" hidden="0"/>
    </xf>
    <xf numFmtId="0" fontId="4" fillId="0" borderId="12" applyAlignment="1" applyProtection="1" pivotButton="0" quotePrefix="0" xfId="0">
      <alignment horizontal="center"/>
      <protection locked="0" hidden="0"/>
    </xf>
    <xf numFmtId="0" fontId="4" fillId="0" borderId="12" applyAlignment="1" applyProtection="1" pivotButton="0" quotePrefix="0" xfId="0">
      <alignment horizontal="left"/>
      <protection locked="0" hidden="0"/>
    </xf>
    <xf numFmtId="164" fontId="4" fillId="0" borderId="12" applyAlignment="1" applyProtection="1" pivotButton="0" quotePrefix="0" xfId="0">
      <alignment horizontal="center"/>
      <protection locked="0" hidden="0"/>
    </xf>
    <xf numFmtId="0" fontId="4" fillId="5" borderId="12" applyProtection="1" pivotButton="0" quotePrefix="0" xfId="0">
      <protection locked="0" hidden="0"/>
    </xf>
    <xf numFmtId="0" fontId="4" fillId="0" borderId="12" applyAlignment="1" applyProtection="1" pivotButton="0" quotePrefix="1" xfId="0">
      <alignment horizontal="left"/>
      <protection locked="0" hidden="0"/>
    </xf>
    <xf numFmtId="164" fontId="0" fillId="0" borderId="6" pivotButton="0" quotePrefix="0" xfId="0"/>
    <xf numFmtId="2" fontId="4" fillId="0" borderId="12" applyAlignment="1" applyProtection="1" pivotButton="0" quotePrefix="0" xfId="0">
      <alignment horizontal="center"/>
      <protection locked="0" hidden="0"/>
    </xf>
    <xf numFmtId="0" fontId="0" fillId="0" borderId="12" applyProtection="1" pivotButton="0" quotePrefix="0" xfId="0">
      <protection locked="0" hidden="0"/>
    </xf>
    <xf numFmtId="0" fontId="8" fillId="0" borderId="0" applyProtection="1" pivotButton="0" quotePrefix="0" xfId="0">
      <protection locked="0" hidden="0"/>
    </xf>
    <xf numFmtId="164" fontId="0" fillId="0" borderId="12" applyProtection="1" pivotButton="0" quotePrefix="0" xfId="0">
      <protection locked="0" hidden="0"/>
    </xf>
    <xf numFmtId="0" fontId="0" fillId="0" borderId="17" applyProtection="1" pivotButton="0" quotePrefix="0" xfId="0">
      <protection locked="0" hidden="0"/>
    </xf>
    <xf numFmtId="0" fontId="7" fillId="2" borderId="12" applyAlignment="1" applyProtection="1" pivotButton="0" quotePrefix="0" xfId="0">
      <alignment horizontal="center" textRotation="90" wrapText="1"/>
      <protection locked="0" hidden="0"/>
    </xf>
    <xf numFmtId="0" fontId="4" fillId="0" borderId="12" applyAlignment="1" applyProtection="1" pivotButton="0" quotePrefix="0" xfId="0">
      <alignment horizontal="center" vertical="center"/>
      <protection locked="0" hidden="0"/>
    </xf>
    <xf numFmtId="0" fontId="4" fillId="0" borderId="12" applyAlignment="1" applyProtection="1" pivotButton="0" quotePrefix="0" xfId="0">
      <alignment horizontal="left" vertical="center"/>
      <protection locked="0" hidden="0"/>
    </xf>
    <xf numFmtId="0" fontId="4" fillId="0" borderId="12" applyAlignment="1" applyProtection="1" pivotButton="0" quotePrefix="0" xfId="0">
      <alignment horizontal="center" vertical="center" wrapText="1"/>
      <protection locked="0" hidden="0"/>
    </xf>
    <xf numFmtId="0" fontId="4" fillId="0" borderId="12" applyAlignment="1" applyProtection="1" pivotButton="0" quotePrefix="0" xfId="0">
      <alignment horizontal="left" vertical="center" wrapText="1"/>
      <protection locked="0" hidden="0"/>
    </xf>
    <xf numFmtId="1" fontId="4" fillId="9" borderId="35" applyAlignment="1" pivotButton="0" quotePrefix="0" xfId="0">
      <alignment horizontal="center" vertical="center" wrapText="1"/>
    </xf>
    <xf numFmtId="1" fontId="4" fillId="9" borderId="35" applyAlignment="1" pivotButton="0" quotePrefix="0" xfId="0">
      <alignment horizontal="center" vertical="center"/>
    </xf>
    <xf numFmtId="0" fontId="4" fillId="9" borderId="35" applyAlignment="1" pivotButton="0" quotePrefix="0" xfId="0">
      <alignment horizontal="center" vertical="center"/>
    </xf>
    <xf numFmtId="11" fontId="4" fillId="0" borderId="12" applyAlignment="1" applyProtection="1" pivotButton="0" quotePrefix="0" xfId="0">
      <alignment horizontal="center" vertical="center"/>
      <protection locked="0" hidden="0"/>
    </xf>
    <xf numFmtId="10" fontId="4" fillId="0" borderId="12" applyAlignment="1" applyProtection="1" pivotButton="0" quotePrefix="0" xfId="0">
      <alignment horizontal="center" vertical="center"/>
      <protection locked="0" hidden="0"/>
    </xf>
    <xf numFmtId="0" fontId="4" fillId="5" borderId="12" applyAlignment="1" applyProtection="1" pivotButton="0" quotePrefix="0" xfId="0">
      <alignment vertical="center" wrapText="1"/>
      <protection locked="0" hidden="0"/>
    </xf>
    <xf numFmtId="1" fontId="4" fillId="9" borderId="12" applyAlignment="1" pivotButton="0" quotePrefix="0" xfId="0">
      <alignment horizontal="center" vertical="center" wrapText="1"/>
    </xf>
    <xf numFmtId="1" fontId="4" fillId="9" borderId="12" applyAlignment="1" pivotButton="0" quotePrefix="0" xfId="0">
      <alignment horizontal="center" vertical="center"/>
    </xf>
    <xf numFmtId="0" fontId="4" fillId="9" borderId="12" applyAlignment="1" pivotButton="0" quotePrefix="0" xfId="0">
      <alignment horizontal="center" vertical="center"/>
    </xf>
    <xf numFmtId="11" fontId="4" fillId="11" borderId="37" applyAlignment="1" applyProtection="1" pivotButton="0" quotePrefix="0" xfId="0">
      <alignment horizontal="center" vertical="center"/>
      <protection locked="0" hidden="0"/>
    </xf>
    <xf numFmtId="0" fontId="4" fillId="11" borderId="12" applyAlignment="1" applyProtection="1" pivotButton="0" quotePrefix="0" xfId="0">
      <alignment horizontal="center" vertical="center" wrapText="1"/>
      <protection locked="0" hidden="0"/>
    </xf>
    <xf numFmtId="11" fontId="4" fillId="11" borderId="40" applyAlignment="1" applyProtection="1" pivotButton="0" quotePrefix="0" xfId="0">
      <alignment horizontal="center" vertical="center"/>
      <protection locked="0" hidden="0"/>
    </xf>
    <xf numFmtId="0" fontId="4" fillId="11" borderId="17" applyAlignment="1" applyProtection="1" pivotButton="0" quotePrefix="0" xfId="0">
      <alignment horizontal="center" vertical="center" wrapText="1"/>
      <protection locked="0" hidden="0"/>
    </xf>
    <xf numFmtId="1" fontId="4" fillId="9" borderId="17" applyAlignment="1" pivotButton="0" quotePrefix="0" xfId="0">
      <alignment horizontal="center" vertical="center" wrapText="1"/>
    </xf>
    <xf numFmtId="1" fontId="4" fillId="9" borderId="17" applyAlignment="1" pivotButton="0" quotePrefix="0" xfId="0">
      <alignment horizontal="center" vertical="center"/>
    </xf>
    <xf numFmtId="0" fontId="4" fillId="9" borderId="17" applyAlignment="1" pivotButton="0" quotePrefix="0" xfId="0">
      <alignment horizontal="center" vertical="center"/>
    </xf>
    <xf numFmtId="0" fontId="4" fillId="0"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4" fillId="0" borderId="0" applyAlignment="1" applyProtection="1" pivotButton="0" quotePrefix="0" xfId="0">
      <alignment horizontal="center" vertical="center" wrapText="1"/>
      <protection locked="0" hidden="0"/>
    </xf>
    <xf numFmtId="0" fontId="4" fillId="0" borderId="0" applyAlignment="1" applyProtection="1" pivotButton="0" quotePrefix="0" xfId="0">
      <alignment horizontal="left" vertical="center" wrapText="1"/>
      <protection locked="0" hidden="0"/>
    </xf>
    <xf numFmtId="11" fontId="4" fillId="0" borderId="0" applyAlignment="1" applyProtection="1" pivotButton="0" quotePrefix="0" xfId="0">
      <alignment horizontal="center" vertical="center"/>
      <protection locked="0" hidden="0"/>
    </xf>
    <xf numFmtId="1" fontId="4" fillId="0" borderId="0" applyAlignment="1" applyProtection="1" pivotButton="0" quotePrefix="0" xfId="0">
      <alignment horizontal="center" vertical="center" wrapText="1"/>
      <protection locked="0" hidden="0"/>
    </xf>
    <xf numFmtId="1" fontId="4" fillId="0" borderId="0" applyAlignment="1" applyProtection="1" pivotButton="0" quotePrefix="0" xfId="0">
      <alignment horizontal="center" vertical="center"/>
      <protection locked="0" hidden="0"/>
    </xf>
    <xf numFmtId="0" fontId="4" fillId="5" borderId="0" applyAlignment="1" applyProtection="1" pivotButton="0" quotePrefix="0" xfId="0">
      <alignment horizontal="center" vertical="center" wrapText="1"/>
      <protection locked="0" hidden="0"/>
    </xf>
    <xf numFmtId="10" fontId="4" fillId="0" borderId="0" applyAlignment="1" applyProtection="1" pivotButton="0" quotePrefix="0" xfId="0">
      <alignment horizontal="center" vertical="center"/>
      <protection locked="0" hidden="0"/>
    </xf>
    <xf numFmtId="0" fontId="4" fillId="5" borderId="0" applyAlignment="1" applyProtection="1" pivotButton="0" quotePrefix="0" xfId="0">
      <alignment vertical="center" wrapText="1"/>
      <protection locked="0" hidden="0"/>
    </xf>
    <xf numFmtId="0" fontId="4" fillId="6" borderId="13" applyAlignment="1" applyProtection="1" pivotButton="0" quotePrefix="0" xfId="0">
      <alignment horizontal="center" vertical="center"/>
      <protection locked="0" hidden="0"/>
    </xf>
    <xf numFmtId="0" fontId="4" fillId="6" borderId="13" applyAlignment="1" applyProtection="1" pivotButton="0" quotePrefix="0" xfId="0">
      <alignment horizontal="left" vertical="center"/>
      <protection locked="0" hidden="0"/>
    </xf>
    <xf numFmtId="0" fontId="4" fillId="6" borderId="13" applyAlignment="1" applyProtection="1" pivotButton="0" quotePrefix="1" xfId="0">
      <alignment horizontal="left" vertical="center"/>
      <protection locked="0" hidden="0"/>
    </xf>
    <xf numFmtId="2" fontId="4" fillId="6" borderId="13" applyAlignment="1" applyProtection="1" pivotButton="0" quotePrefix="0" xfId="0">
      <alignment horizontal="center" vertical="center"/>
      <protection locked="0" hidden="0"/>
    </xf>
    <xf numFmtId="1" fontId="4" fillId="6" borderId="13" applyAlignment="1" applyProtection="1" pivotButton="0" quotePrefix="0" xfId="0">
      <alignment horizontal="center" vertical="center"/>
      <protection locked="0" hidden="0"/>
    </xf>
    <xf numFmtId="0" fontId="4" fillId="6" borderId="13" applyAlignment="1" applyProtection="1" pivotButton="0" quotePrefix="0" xfId="0">
      <alignment horizontal="center" vertical="center" wrapText="1"/>
      <protection locked="0" hidden="0"/>
    </xf>
    <xf numFmtId="0" fontId="4" fillId="6" borderId="13" applyAlignment="1" applyProtection="1" pivotButton="0" quotePrefix="0" xfId="0">
      <alignment vertical="center"/>
      <protection locked="0" hidden="0"/>
    </xf>
    <xf numFmtId="0" fontId="4" fillId="6" borderId="0" applyAlignment="1" applyProtection="1" pivotButton="0" quotePrefix="0" xfId="0">
      <alignment vertical="center"/>
      <protection locked="0" hidden="0"/>
    </xf>
    <xf numFmtId="0" fontId="26" fillId="0" borderId="0" pivotButton="0" quotePrefix="0" xfId="0"/>
    <xf numFmtId="0" fontId="27" fillId="0" borderId="0" pivotButton="0" quotePrefix="0" xfId="0"/>
    <xf numFmtId="0" fontId="28" fillId="0" borderId="0" pivotButton="0" quotePrefix="0" xfId="0"/>
    <xf numFmtId="0" fontId="29" fillId="12" borderId="41" applyAlignment="1" pivotButton="0" quotePrefix="0" xfId="0">
      <alignment horizontal="left" vertical="center" wrapText="1"/>
    </xf>
    <xf numFmtId="0" fontId="30" fillId="0" borderId="0" pivotButton="0" quotePrefix="0" xfId="0"/>
    <xf numFmtId="166" fontId="30" fillId="0" borderId="0" pivotButton="0" quotePrefix="0" xfId="0"/>
    <xf numFmtId="167" fontId="30" fillId="0" borderId="0" pivotButton="0" quotePrefix="0" xfId="0"/>
    <xf numFmtId="0" fontId="31" fillId="0" borderId="42" pivotButton="0" quotePrefix="0" xfId="0"/>
    <xf numFmtId="166" fontId="31" fillId="0" borderId="42" pivotButton="0" quotePrefix="0" xfId="0"/>
    <xf numFmtId="0" fontId="0" fillId="0" borderId="42" pivotButton="0" quotePrefix="0" xfId="0"/>
    <xf numFmtId="0" fontId="32" fillId="0" borderId="0" pivotButton="0" quotePrefix="0" xfId="0"/>
    <xf numFmtId="0" fontId="33" fillId="0" borderId="0" pivotButton="0" quotePrefix="0" xfId="0"/>
    <xf numFmtId="166" fontId="33" fillId="0" borderId="0" pivotButton="0" quotePrefix="0" xfId="0"/>
    <xf numFmtId="168" fontId="33" fillId="0" borderId="0" pivotButton="0" quotePrefix="0" xfId="0"/>
    <xf numFmtId="0" fontId="34" fillId="0" borderId="0" pivotButton="0" quotePrefix="0" xfId="0"/>
    <xf numFmtId="166" fontId="35" fillId="0" borderId="0" pivotButton="0" quotePrefix="0" xfId="0"/>
    <xf numFmtId="0" fontId="36" fillId="0" borderId="0" pivotButton="0" quotePrefix="0" xfId="0"/>
    <xf numFmtId="164" fontId="30" fillId="0" borderId="0" pivotButton="0" quotePrefix="0" xfId="0"/>
    <xf numFmtId="165" fontId="32" fillId="0" borderId="0" applyAlignment="1" pivotButton="0" quotePrefix="0" xfId="0">
      <alignment horizontal="right" vertical="center"/>
    </xf>
    <xf numFmtId="0" fontId="34" fillId="13" borderId="54" applyAlignment="1" pivotButton="0" quotePrefix="0" xfId="0">
      <alignment horizontal="left" vertical="center" indent="1"/>
    </xf>
    <xf numFmtId="0" fontId="0" fillId="0" borderId="55" pivotButton="0" quotePrefix="0" xfId="0"/>
    <xf numFmtId="0" fontId="0" fillId="0" borderId="56" pivotButton="0" quotePrefix="0" xfId="0"/>
    <xf numFmtId="166" fontId="38" fillId="13" borderId="61" applyAlignment="1" pivotButton="0" quotePrefix="0" xfId="0">
      <alignment horizontal="left" vertical="center" indent="1"/>
    </xf>
    <xf numFmtId="0" fontId="0" fillId="0" borderId="58" pivotButton="0" quotePrefix="0" xfId="0"/>
    <xf numFmtId="167" fontId="38" fillId="13" borderId="61" applyAlignment="1" pivotButton="0" quotePrefix="0" xfId="0">
      <alignment horizontal="left" vertical="center" indent="1"/>
    </xf>
    <xf numFmtId="164" fontId="38" fillId="13" borderId="61" applyAlignment="1" pivotButton="0" quotePrefix="0" xfId="0">
      <alignment horizontal="left" vertical="center" indent="1"/>
    </xf>
    <xf numFmtId="0" fontId="39" fillId="13" borderId="57" applyAlignment="1" pivotButton="0" quotePrefix="0" xfId="0">
      <alignment horizontal="left" vertical="top" indent="1"/>
    </xf>
    <xf numFmtId="0" fontId="0" fillId="0" borderId="59" pivotButton="0" quotePrefix="0" xfId="0"/>
    <xf numFmtId="0" fontId="0" fillId="0" borderId="60" pivotButton="0" quotePrefix="0" xfId="0"/>
    <xf numFmtId="0" fontId="0" fillId="0" borderId="53" pivotButton="0" quotePrefix="0" xfId="0"/>
    <xf numFmtId="166" fontId="35" fillId="0" borderId="52" applyAlignment="1" pivotButton="0" quotePrefix="0" xfId="0">
      <alignment horizontal="right"/>
    </xf>
    <xf numFmtId="167" fontId="35" fillId="0" borderId="52" applyAlignment="1" pivotButton="0" quotePrefix="0" xfId="0">
      <alignment horizontal="right"/>
    </xf>
    <xf numFmtId="0" fontId="41" fillId="0" borderId="0" pivotButton="0" quotePrefix="0" xfId="0"/>
    <xf numFmtId="0" fontId="42" fillId="0" borderId="0" pivotButton="0" quotePrefix="0" xfId="0"/>
    <xf numFmtId="0" fontId="43" fillId="0" borderId="0" pivotButton="0" quotePrefix="0" xfId="0"/>
    <xf numFmtId="0" fontId="31" fillId="14" borderId="41" applyAlignment="1" applyProtection="1" pivotButton="0" quotePrefix="0" xfId="0">
      <alignment horizontal="left" vertical="center"/>
      <protection locked="0" hidden="0"/>
    </xf>
    <xf numFmtId="0" fontId="0" fillId="0" borderId="64" applyProtection="1" pivotButton="0" quotePrefix="0" xfId="0">
      <protection locked="0" hidden="0"/>
    </xf>
    <xf numFmtId="0" fontId="0" fillId="0" borderId="65" applyProtection="1" pivotButton="0" quotePrefix="0" xfId="0">
      <protection locked="0" hidden="0"/>
    </xf>
    <xf numFmtId="1" fontId="31" fillId="14" borderId="41" applyAlignment="1" applyProtection="1" pivotButton="0" quotePrefix="0" xfId="0">
      <alignment horizontal="left" vertical="center"/>
      <protection locked="0" hidden="0"/>
    </xf>
    <xf numFmtId="166" fontId="31" fillId="14" borderId="41" applyAlignment="1" applyProtection="1" pivotButton="0" quotePrefix="0" xfId="0">
      <alignment horizontal="left" vertical="center"/>
      <protection locked="0" hidden="0"/>
    </xf>
    <xf numFmtId="0" fontId="44" fillId="15" borderId="0" applyAlignment="1" pivotButton="0" quotePrefix="0" xfId="0">
      <alignment horizontal="center"/>
    </xf>
    <xf numFmtId="0" fontId="0" fillId="15" borderId="0" pivotButton="0" quotePrefix="0" xfId="0"/>
    <xf numFmtId="0" fontId="44" fillId="16" borderId="0" applyAlignment="1" pivotButton="0" quotePrefix="0" xfId="0">
      <alignment horizontal="center"/>
    </xf>
    <xf numFmtId="0" fontId="0" fillId="16" borderId="0" pivotButton="0" quotePrefix="0" xfId="0"/>
    <xf numFmtId="0" fontId="44" fillId="17" borderId="0" applyAlignment="1" pivotButton="0" quotePrefix="0" xfId="0">
      <alignment horizontal="center"/>
    </xf>
    <xf numFmtId="0" fontId="0" fillId="17" borderId="0" pivotButton="0" quotePrefix="0" xfId="0"/>
    <xf numFmtId="0" fontId="44" fillId="18" borderId="0" applyAlignment="1" pivotButton="0" quotePrefix="0" xfId="0">
      <alignment horizontal="center"/>
    </xf>
    <xf numFmtId="0" fontId="0" fillId="18" borderId="0" pivotButton="0" quotePrefix="0" xfId="0"/>
    <xf numFmtId="0" fontId="44" fillId="19" borderId="0" applyAlignment="1" pivotButton="0" quotePrefix="0" xfId="0">
      <alignment horizontal="center"/>
    </xf>
    <xf numFmtId="0" fontId="0" fillId="19" borderId="0" pivotButton="0" quotePrefix="0" xfId="0"/>
    <xf numFmtId="0" fontId="44" fillId="20" borderId="0" applyAlignment="1" pivotButton="0" quotePrefix="0" xfId="0">
      <alignment horizontal="center"/>
    </xf>
    <xf numFmtId="0" fontId="0" fillId="20" borderId="0" pivotButton="0" quotePrefix="0" xfId="0"/>
    <xf numFmtId="0" fontId="44" fillId="21" borderId="0" applyAlignment="1" pivotButton="0" quotePrefix="0" xfId="0">
      <alignment horizontal="center"/>
    </xf>
    <xf numFmtId="0" fontId="0" fillId="21" borderId="0" pivotButton="0" quotePrefix="0" xfId="0"/>
    <xf numFmtId="0" fontId="44" fillId="22" borderId="0" applyAlignment="1" pivotButton="0" quotePrefix="0" xfId="0">
      <alignment horizontal="center"/>
    </xf>
    <xf numFmtId="0" fontId="0" fillId="22" borderId="0" pivotButton="0" quotePrefix="0" xfId="0"/>
    <xf numFmtId="0" fontId="44" fillId="23" borderId="0" applyAlignment="1" pivotButton="0" quotePrefix="0" xfId="0">
      <alignment horizontal="center"/>
    </xf>
    <xf numFmtId="0" fontId="45" fillId="12" borderId="41" applyAlignment="1" pivotButton="0" quotePrefix="0" xfId="0">
      <alignment horizontal="center" vertical="center" wrapText="1"/>
    </xf>
    <xf numFmtId="0" fontId="32" fillId="0" borderId="66" applyAlignment="1" pivotButton="0" quotePrefix="0" xfId="0">
      <alignment horizontal="center"/>
    </xf>
    <xf numFmtId="0" fontId="33" fillId="14" borderId="66" applyAlignment="1" applyProtection="1" pivotButton="0" quotePrefix="0" xfId="0">
      <alignment horizontal="left" vertical="center"/>
      <protection locked="0" hidden="0"/>
    </xf>
    <xf numFmtId="1" fontId="33" fillId="14" borderId="66" applyAlignment="1" applyProtection="1" pivotButton="0" quotePrefix="0" xfId="0">
      <alignment horizontal="left" vertical="center"/>
      <protection locked="0" hidden="0"/>
    </xf>
    <xf numFmtId="169" fontId="33" fillId="14" borderId="66" applyAlignment="1" applyProtection="1" pivotButton="0" quotePrefix="0" xfId="0">
      <alignment horizontal="left" vertical="center"/>
      <protection locked="0" hidden="0"/>
    </xf>
    <xf numFmtId="170" fontId="33" fillId="14" borderId="66" applyAlignment="1" applyProtection="1" pivotButton="0" quotePrefix="0" xfId="0">
      <alignment horizontal="left" vertical="center"/>
      <protection locked="0" hidden="0"/>
    </xf>
    <xf numFmtId="171" fontId="33" fillId="14" borderId="66" applyAlignment="1" applyProtection="1" pivotButton="0" quotePrefix="0" xfId="0">
      <alignment horizontal="left" vertical="center"/>
      <protection locked="0" hidden="0"/>
    </xf>
    <xf numFmtId="168" fontId="33" fillId="14" borderId="66" applyAlignment="1" applyProtection="1" pivotButton="0" quotePrefix="0" xfId="0">
      <alignment horizontal="left" vertical="center"/>
      <protection locked="0" hidden="0"/>
    </xf>
    <xf numFmtId="9" fontId="33" fillId="14" borderId="66" applyAlignment="1" applyProtection="1" pivotButton="0" quotePrefix="0" xfId="0">
      <alignment horizontal="left" vertical="center"/>
      <protection locked="0" hidden="0"/>
    </xf>
    <xf numFmtId="0" fontId="31" fillId="0" borderId="0" pivotButton="0" quotePrefix="0" xfId="0"/>
    <xf numFmtId="0" fontId="46" fillId="0" borderId="0" pivotButton="0" quotePrefix="0" xfId="0"/>
    <xf numFmtId="0" fontId="31" fillId="0" borderId="0" applyAlignment="1" pivotButton="0" quotePrefix="0" xfId="0">
      <alignment vertical="top"/>
    </xf>
    <xf numFmtId="0" fontId="30" fillId="0" borderId="0" applyAlignment="1" pivotButton="0" quotePrefix="0" xfId="0">
      <alignment vertical="top" wrapText="1"/>
    </xf>
    <xf numFmtId="0" fontId="27" fillId="2" borderId="32" applyAlignment="1" pivotButton="0" quotePrefix="0" xfId="0">
      <alignment horizontal="centerContinuous"/>
    </xf>
    <xf numFmtId="172" fontId="4" fillId="0" borderId="12" pivotButton="0" quotePrefix="1" xfId="0"/>
    <xf numFmtId="172" fontId="4" fillId="0" borderId="12" pivotButton="0" quotePrefix="0" xfId="0"/>
    <xf numFmtId="172" fontId="4" fillId="0" borderId="12" applyAlignment="1" pivotButton="0" quotePrefix="0" xfId="0">
      <alignment horizontal="center"/>
    </xf>
    <xf numFmtId="0" fontId="27" fillId="2" borderId="32" applyAlignment="1" pivotButton="0" quotePrefix="0" xfId="0">
      <alignment horizontal="center"/>
    </xf>
    <xf numFmtId="0" fontId="27" fillId="2" borderId="32" applyAlignment="1" pivotButton="0" quotePrefix="0" xfId="0">
      <alignment horizontal="right"/>
    </xf>
    <xf numFmtId="176" fontId="4" fillId="0" borderId="12" applyAlignment="1" pivotButton="0" quotePrefix="0" xfId="0">
      <alignment horizontal="center"/>
    </xf>
    <xf numFmtId="172" fontId="0" fillId="0" borderId="12" pivotButton="0" quotePrefix="0" xfId="0"/>
    <xf numFmtId="175" fontId="0" fillId="0" borderId="12" pivotButton="0" quotePrefix="0" xfId="0"/>
    <xf numFmtId="172" fontId="0" fillId="0" borderId="17" pivotButton="0" quotePrefix="0" xfId="0"/>
    <xf numFmtId="172" fontId="4" fillId="0" borderId="12" applyAlignment="1" pivotButton="0" quotePrefix="0" xfId="0">
      <alignment horizontal="center" vertical="center"/>
    </xf>
    <xf numFmtId="172" fontId="4" fillId="0" borderId="12" applyAlignment="1" pivotButton="0" quotePrefix="0" xfId="0">
      <alignment horizontal="left" vertical="center"/>
    </xf>
    <xf numFmtId="11" fontId="4" fillId="9" borderId="34" applyAlignment="1" pivotButton="0" quotePrefix="0" xfId="0">
      <alignment horizontal="center" vertical="center"/>
    </xf>
    <xf numFmtId="0" fontId="4" fillId="9" borderId="35" applyAlignment="1" pivotButton="0" quotePrefix="0" xfId="0">
      <alignment horizontal="center" vertical="center" wrapText="1"/>
    </xf>
    <xf numFmtId="172" fontId="4" fillId="9" borderId="35" applyAlignment="1" pivotButton="0" quotePrefix="0" xfId="0">
      <alignment horizontal="center" vertical="center" wrapText="1"/>
    </xf>
    <xf numFmtId="173" fontId="4" fillId="9" borderId="35" applyAlignment="1" pivotButton="0" quotePrefix="0" xfId="0">
      <alignment horizontal="center" vertical="center" wrapText="1"/>
    </xf>
    <xf numFmtId="172" fontId="4" fillId="9" borderId="35" applyAlignment="1" pivotButton="0" quotePrefix="0" xfId="0">
      <alignment horizontal="center" vertical="center"/>
    </xf>
    <xf numFmtId="172" fontId="4" fillId="9" borderId="36" applyAlignment="1" pivotButton="0" quotePrefix="0" xfId="0">
      <alignment horizontal="center" vertical="center"/>
    </xf>
    <xf numFmtId="174" fontId="4" fillId="0" borderId="12" applyAlignment="1" pivotButton="0" quotePrefix="0" xfId="0">
      <alignment horizontal="center" vertical="center"/>
    </xf>
    <xf numFmtId="11" fontId="4" fillId="9" borderId="37" applyAlignment="1" pivotButton="0" quotePrefix="0" xfId="0">
      <alignment horizontal="center" vertical="center"/>
    </xf>
    <xf numFmtId="0" fontId="4" fillId="9" borderId="12" applyAlignment="1" pivotButton="0" quotePrefix="0" xfId="0">
      <alignment horizontal="center" vertical="center" wrapText="1"/>
    </xf>
    <xf numFmtId="172" fontId="4" fillId="9" borderId="12" applyAlignment="1" pivotButton="0" quotePrefix="0" xfId="0">
      <alignment horizontal="center" vertical="center" wrapText="1"/>
    </xf>
    <xf numFmtId="173" fontId="4" fillId="9" borderId="12" applyAlignment="1" pivotButton="0" quotePrefix="0" xfId="0">
      <alignment horizontal="center" vertical="center" wrapText="1"/>
    </xf>
    <xf numFmtId="172" fontId="4" fillId="9" borderId="12" applyAlignment="1" pivotButton="0" quotePrefix="0" xfId="0">
      <alignment horizontal="center" vertical="center"/>
    </xf>
    <xf numFmtId="172" fontId="4" fillId="9" borderId="38" applyAlignment="1" pivotButton="0" quotePrefix="0" xfId="0">
      <alignment horizontal="center" vertical="center"/>
    </xf>
    <xf numFmtId="0" fontId="4" fillId="9" borderId="17" applyAlignment="1" pivotButton="0" quotePrefix="0" xfId="0">
      <alignment horizontal="center" vertical="center" wrapText="1"/>
    </xf>
    <xf numFmtId="172" fontId="4" fillId="9" borderId="17" applyAlignment="1" pivotButton="0" quotePrefix="0" xfId="0">
      <alignment horizontal="center" vertical="center" wrapText="1"/>
    </xf>
    <xf numFmtId="173" fontId="4" fillId="9" borderId="17" applyAlignment="1" pivotButton="0" quotePrefix="0" xfId="0">
      <alignment horizontal="center" vertical="center" wrapText="1"/>
    </xf>
    <xf numFmtId="172" fontId="4" fillId="9" borderId="17" applyAlignment="1" pivotButton="0" quotePrefix="0" xfId="0">
      <alignment horizontal="center" vertical="center"/>
    </xf>
    <xf numFmtId="172" fontId="4" fillId="9" borderId="39" applyAlignment="1" pivotButton="0" quotePrefix="0" xfId="0">
      <alignment horizontal="center" vertical="center"/>
    </xf>
    <xf numFmtId="172" fontId="4" fillId="0" borderId="0" applyAlignment="1" pivotButton="0" quotePrefix="0" xfId="0">
      <alignment horizontal="center" vertical="center"/>
    </xf>
    <xf numFmtId="172" fontId="4" fillId="0" borderId="0" applyAlignment="1" pivotButton="0" quotePrefix="0" xfId="0">
      <alignment horizontal="left" vertical="center"/>
    </xf>
    <xf numFmtId="172" fontId="4" fillId="0" borderId="0" applyAlignment="1" pivotButton="0" quotePrefix="0" xfId="0">
      <alignment horizontal="center" vertical="center" wrapText="1"/>
    </xf>
    <xf numFmtId="173" fontId="4" fillId="0" borderId="0" applyAlignment="1" pivotButton="0" quotePrefix="0" xfId="0">
      <alignment horizontal="center" vertical="center" wrapText="1"/>
    </xf>
    <xf numFmtId="172" fontId="4" fillId="5" borderId="0" applyAlignment="1" pivotButton="0" quotePrefix="0" xfId="0">
      <alignment horizontal="center" vertical="center" wrapText="1"/>
    </xf>
    <xf numFmtId="174" fontId="4" fillId="0" borderId="0" applyAlignment="1" pivotButton="0" quotePrefix="0" xfId="0">
      <alignment horizontal="center" vertical="center"/>
    </xf>
    <xf numFmtId="172" fontId="4" fillId="6" borderId="13" applyAlignment="1" pivotButton="0" quotePrefix="0" xfId="0">
      <alignment horizontal="center" vertical="center"/>
    </xf>
    <xf numFmtId="172" fontId="4" fillId="6" borderId="13" applyAlignment="1" pivotButton="0" quotePrefix="0" xfId="0">
      <alignment horizontal="left" vertical="center"/>
    </xf>
    <xf numFmtId="173" fontId="4" fillId="6" borderId="13" applyAlignment="1" pivotButton="0" quotePrefix="0" xfId="0">
      <alignment horizontal="center" vertical="center"/>
    </xf>
    <xf numFmtId="172" fontId="4" fillId="6" borderId="13" applyAlignment="1" pivotButton="0" quotePrefix="0" xfId="0">
      <alignment horizontal="center" vertical="center" wrapText="1"/>
    </xf>
    <xf numFmtId="166" fontId="30" fillId="0" borderId="0" pivotButton="0" quotePrefix="0" xfId="0"/>
    <xf numFmtId="167" fontId="30" fillId="0" borderId="0" pivotButton="0" quotePrefix="0" xfId="0"/>
    <xf numFmtId="166" fontId="31" fillId="0" borderId="42" pivotButton="0" quotePrefix="0" xfId="0"/>
    <xf numFmtId="166" fontId="33" fillId="0" borderId="0" pivotButton="0" quotePrefix="0" xfId="0"/>
    <xf numFmtId="168" fontId="33" fillId="0" borderId="0" pivotButton="0" quotePrefix="0" xfId="0"/>
    <xf numFmtId="166" fontId="35" fillId="0" borderId="0" pivotButton="0" quotePrefix="0" xfId="0"/>
  </cellXfs>
  <cellStyles count="2">
    <cellStyle name="Standaard" xfId="0" builtinId="0"/>
    <cellStyle name="Procent" xfId="1" builtinId="5"/>
  </cellStyles>
  <dxfs count="3">
    <dxf>
      <font>
        <b val="1"/>
        <color rgb="00C00000"/>
      </font>
    </dxf>
    <dxf>
      <font>
        <b val="1"/>
        <color rgb="00008000"/>
      </font>
    </dxf>
    <dxf>
      <font>
        <color rgb="00FFFFFF"/>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 Id="rId12" Type="http://schemas.openxmlformats.org/officeDocument/2006/relationships/customXml" Target="../customXml/item1.xml"/><Relationship Id="rId13" Type="http://schemas.openxmlformats.org/officeDocument/2006/relationships/customXml" Target="../customXml/item2.xml"/><Relationship Id="rId14" Type="http://schemas.openxmlformats.org/officeDocument/2006/relationships/customXml" Target="../customXml/item3.xml"/></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sz="1100" b="1">
                <a:solidFill>
                  <a:srgbClr val="1F3864"/>
                </a:solidFill>
              </a:defRPr>
            </a:pPr>
            <a:r>
              <a:t>Onderhoudskosten per jaar naar onderhoudssoort</a:t>
            </a:r>
          </a:p>
        </rich>
      </tx>
    </title>
    <plotArea>
      <barChart>
        <barDir val="col"/>
        <grouping val="clustered"/>
        <ser>
          <idx val="0"/>
          <order val="0"/>
          <tx>
            <strRef>
              <f>'Rapportdata'!C6</f>
            </strRef>
          </tx>
          <spPr>
            <a:solidFill xmlns:a="http://schemas.openxmlformats.org/drawingml/2006/main">
              <a:srgbClr val="2A78D6"/>
            </a:solidFill>
            <a:ln xmlns:a="http://schemas.openxmlformats.org/drawingml/2006/main">
              <a:noFill/>
              <a:prstDash val="solid"/>
            </a:ln>
          </spPr>
          <cat>
            <numRef>
              <f>'Rapportdata'!$B$7:$B$9</f>
            </numRef>
          </cat>
          <val>
            <numRef>
              <f>'Rapportdata'!$C$7:$C$9</f>
            </numRef>
          </val>
        </ser>
        <dLbls>
          <numFmt formatCode="€ #,##0"/>
          <txPr>
            <a:bodyPr xmlns:a="http://schemas.openxmlformats.org/drawingml/2006/main"/>
            <a:p xmlns:a="http://schemas.openxmlformats.org/drawingml/2006/main">
              <a:pPr>
                <a:defRPr sz="850" b="1">
                  <a:solidFill>
                    <a:srgbClr val="0B0B0B"/>
                  </a:solidFill>
                </a:defRPr>
              </a:pPr>
              <a:r>
                <a:t>None</a:t>
              </a:r>
            </a:p>
          </txPr>
          <showLegendKey val="0"/>
          <showVal val="1"/>
          <showCatName val="0"/>
          <showSerName val="0"/>
        </dLbls>
        <gapWidth val="60"/>
        <axId val="10"/>
        <axId val="100"/>
      </barChart>
      <catAx>
        <axId val="10"/>
        <scaling>
          <orientation val="minMax"/>
        </scaling>
        <delete val="0"/>
        <axPos val="l"/>
        <majorTickMark val="none"/>
        <minorTickMark val="none"/>
        <spPr>
          <a:ln xmlns:a="http://schemas.openxmlformats.org/drawingml/2006/main" w="9525">
            <a:solidFill>
              <a:srgbClr val="BFBFBF"/>
            </a:solidFill>
            <a:prstDash val="solid"/>
          </a:ln>
        </spPr>
        <txPr>
          <a:bodyPr xmlns:a="http://schemas.openxmlformats.org/drawingml/2006/main"/>
          <a:p xmlns:a="http://schemas.openxmlformats.org/drawingml/2006/main">
            <a:pPr>
              <a:defRPr sz="900" b="0">
                <a:solidFill>
                  <a:srgbClr val="52514E"/>
                </a:solidFill>
              </a:defRPr>
            </a:pPr>
            <a:r>
              <a:t>None</a:t>
            </a:r>
          </a:p>
        </txPr>
        <crossAx val="100"/>
        <lblOffset val="100"/>
      </catAx>
      <valAx>
        <axId val="100"/>
        <scaling>
          <orientation val="minMax"/>
        </scaling>
        <delete val="0"/>
        <axPos val="l"/>
        <numFmt formatCode="€ #,##0" sourceLinked="0"/>
        <majorTickMark val="none"/>
        <minorTickMark val="none"/>
        <spPr>
          <a:ln xmlns:a="http://schemas.openxmlformats.org/drawingml/2006/main" w="9525">
            <a:solidFill>
              <a:srgbClr val="BFBFBF"/>
            </a:solidFill>
            <a:prstDash val="solid"/>
          </a:ln>
        </spPr>
        <txPr>
          <a:bodyPr xmlns:a="http://schemas.openxmlformats.org/drawingml/2006/main"/>
          <a:p xmlns:a="http://schemas.openxmlformats.org/drawingml/2006/main">
            <a:pPr>
              <a:defRPr sz="900" b="0">
                <a:solidFill>
                  <a:srgbClr val="52514E"/>
                </a:solidFill>
              </a:defRPr>
            </a:pPr>
            <a:r>
              <a:t>None</a:t>
            </a:r>
          </a:p>
        </txPr>
        <crossAx val="10"/>
      </valAx>
    </plotArea>
    <plotVisOnly val="1"/>
    <dispBlanksAs val="gap"/>
  </chart>
  <spPr>
    <a:solidFill xmlns:a="http://schemas.openxmlformats.org/drawingml/2006/main">
      <a:srgbClr val="FFFFFF"/>
    </a:solidFill>
    <a:ln xmlns:a="http://schemas.openxmlformats.org/drawingml/2006/main">
      <a:solidFill>
        <a:srgbClr val="BFBFBF"/>
      </a:solidFill>
      <a:prstDash val="solid"/>
    </a:ln>
  </spPr>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sz="1100" b="1">
                <a:solidFill>
                  <a:srgbClr val="1F3864"/>
                </a:solidFill>
              </a:defRPr>
            </a:pPr>
            <a:r>
              <a:t>Kosten per jaar per component (top 10)</a:t>
            </a:r>
          </a:p>
        </rich>
      </tx>
    </title>
    <plotArea>
      <barChart>
        <barDir val="bar"/>
        <grouping val="clustered"/>
        <ser>
          <idx val="0"/>
          <order val="0"/>
          <tx>
            <strRef>
              <f>'Rapportdata'!C52</f>
            </strRef>
          </tx>
          <spPr>
            <a:solidFill xmlns:a="http://schemas.openxmlformats.org/drawingml/2006/main">
              <a:srgbClr val="EB6834"/>
            </a:solidFill>
            <a:ln xmlns:a="http://schemas.openxmlformats.org/drawingml/2006/main">
              <a:noFill/>
              <a:prstDash val="solid"/>
            </a:ln>
          </spPr>
          <cat>
            <numRef>
              <f>'Rapportdata'!$B$53:$B$62</f>
            </numRef>
          </cat>
          <val>
            <numRef>
              <f>'Rapportdata'!$C$53:$C$62</f>
            </numRef>
          </val>
        </ser>
        <dLbls>
          <numFmt formatCode="€ #,##0"/>
          <txPr>
            <a:bodyPr xmlns:a="http://schemas.openxmlformats.org/drawingml/2006/main"/>
            <a:p xmlns:a="http://schemas.openxmlformats.org/drawingml/2006/main">
              <a:pPr>
                <a:defRPr sz="850" b="1">
                  <a:solidFill>
                    <a:srgbClr val="0B0B0B"/>
                  </a:solidFill>
                </a:defRPr>
              </a:pPr>
              <a:r>
                <a:t>None</a:t>
              </a:r>
            </a:p>
          </txPr>
          <showLegendKey val="0"/>
          <showVal val="1"/>
          <showCatName val="0"/>
          <showSerName val="0"/>
        </dLbls>
        <gapWidth val="45"/>
        <axId val="10"/>
        <axId val="100"/>
      </barChart>
      <catAx>
        <axId val="10"/>
        <scaling>
          <orientation val="minMax"/>
        </scaling>
        <delete val="0"/>
        <axPos val="l"/>
        <numFmt formatCode="€ #,##0" sourceLinked="0"/>
        <majorTickMark val="none"/>
        <minorTickMark val="none"/>
        <spPr>
          <a:ln xmlns:a="http://schemas.openxmlformats.org/drawingml/2006/main" w="9525">
            <a:solidFill>
              <a:srgbClr val="BFBFBF"/>
            </a:solidFill>
            <a:prstDash val="solid"/>
          </a:ln>
        </spPr>
        <txPr>
          <a:bodyPr xmlns:a="http://schemas.openxmlformats.org/drawingml/2006/main"/>
          <a:p xmlns:a="http://schemas.openxmlformats.org/drawingml/2006/main">
            <a:pPr>
              <a:defRPr sz="900" b="0">
                <a:solidFill>
                  <a:srgbClr val="52514E"/>
                </a:solidFill>
              </a:defRPr>
            </a:pPr>
            <a:r>
              <a:t>None</a:t>
            </a:r>
          </a:p>
        </txPr>
        <crossAx val="100"/>
        <lblOffset val="100"/>
      </catAx>
      <valAx>
        <axId val="100"/>
        <scaling>
          <orientation val="minMax"/>
        </scaling>
        <delete val="0"/>
        <axPos val="l"/>
        <majorTickMark val="none"/>
        <minorTickMark val="none"/>
        <spPr>
          <a:ln xmlns:a="http://schemas.openxmlformats.org/drawingml/2006/main" w="9525">
            <a:solidFill>
              <a:srgbClr val="BFBFBF"/>
            </a:solidFill>
            <a:prstDash val="solid"/>
          </a:ln>
        </spPr>
        <txPr>
          <a:bodyPr xmlns:a="http://schemas.openxmlformats.org/drawingml/2006/main"/>
          <a:p xmlns:a="http://schemas.openxmlformats.org/drawingml/2006/main">
            <a:pPr>
              <a:defRPr sz="900" b="0">
                <a:solidFill>
                  <a:srgbClr val="52514E"/>
                </a:solidFill>
              </a:defRPr>
            </a:pPr>
            <a:r>
              <a:t>None</a:t>
            </a:r>
          </a:p>
        </txPr>
        <crossAx val="10"/>
      </valAx>
    </plotArea>
    <plotVisOnly val="1"/>
    <dispBlanksAs val="gap"/>
  </chart>
  <spPr>
    <a:solidFill xmlns:a="http://schemas.openxmlformats.org/drawingml/2006/main">
      <a:srgbClr val="FFFFFF"/>
    </a:solidFill>
    <a:ln xmlns:a="http://schemas.openxmlformats.org/drawingml/2006/main">
      <a:solidFill>
        <a:srgbClr val="BFBFBF"/>
      </a:solidFill>
      <a:prstDash val="solid"/>
    </a:ln>
  </spPr>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sz="1100" b="1">
                <a:solidFill>
                  <a:srgbClr val="1F3864"/>
                </a:solidFill>
              </a:defRPr>
            </a:pPr>
            <a:r>
              <a:t>Cumulatieve instandhoudingskosten over de looptijd (per jaar)</a:t>
            </a:r>
          </a:p>
        </rich>
      </tx>
    </title>
    <plotArea>
      <barChart>
        <barDir val="col"/>
        <grouping val="clustered"/>
        <ser>
          <idx val="0"/>
          <order val="0"/>
          <tx>
            <strRef>
              <f>'Rapportdata'!D72</f>
            </strRef>
          </tx>
          <spPr>
            <a:solidFill xmlns:a="http://schemas.openxmlformats.org/drawingml/2006/main">
              <a:srgbClr val="2A78D6"/>
            </a:solidFill>
            <a:ln xmlns:a="http://schemas.openxmlformats.org/drawingml/2006/main">
              <a:noFill/>
              <a:prstDash val="solid"/>
            </a:ln>
          </spPr>
          <cat>
            <numRef>
              <f>'Rapportdata'!$B$73:$B$92</f>
            </numRef>
          </cat>
          <val>
            <numRef>
              <f>'Rapportdata'!$D$73:$D$92</f>
            </numRef>
          </val>
        </ser>
        <gapWidth val="40"/>
        <axId val="10"/>
        <axId val="100"/>
      </barChart>
      <catAx>
        <axId val="10"/>
        <scaling>
          <orientation val="minMax"/>
        </scaling>
        <delete val="0"/>
        <axPos val="l"/>
        <majorTickMark val="none"/>
        <minorTickMark val="none"/>
        <spPr>
          <a:ln xmlns:a="http://schemas.openxmlformats.org/drawingml/2006/main" w="9525">
            <a:solidFill>
              <a:srgbClr val="BFBFBF"/>
            </a:solidFill>
            <a:prstDash val="solid"/>
          </a:ln>
        </spPr>
        <txPr>
          <a:bodyPr xmlns:a="http://schemas.openxmlformats.org/drawingml/2006/main"/>
          <a:p xmlns:a="http://schemas.openxmlformats.org/drawingml/2006/main">
            <a:pPr>
              <a:defRPr sz="900" b="0">
                <a:solidFill>
                  <a:srgbClr val="52514E"/>
                </a:solidFill>
              </a:defRPr>
            </a:pPr>
            <a:r>
              <a:t>None</a:t>
            </a:r>
          </a:p>
        </txPr>
        <crossAx val="100"/>
        <lblOffset val="100"/>
      </catAx>
      <valAx>
        <axId val="100"/>
        <scaling>
          <orientation val="minMax"/>
        </scaling>
        <delete val="0"/>
        <axPos val="l"/>
        <majorGridlines>
          <spPr>
            <a:ln xmlns:a="http://schemas.openxmlformats.org/drawingml/2006/main" w="9525">
              <a:solidFill>
                <a:srgbClr val="E7E9EC"/>
              </a:solidFill>
              <a:prstDash val="solid"/>
            </a:ln>
          </spPr>
        </majorGridlines>
        <numFmt formatCode="€ #,##0" sourceLinked="0"/>
        <majorTickMark val="none"/>
        <minorTickMark val="none"/>
        <spPr>
          <a:ln xmlns:a="http://schemas.openxmlformats.org/drawingml/2006/main" w="9525">
            <a:solidFill>
              <a:srgbClr val="BFBFBF"/>
            </a:solidFill>
            <a:prstDash val="solid"/>
          </a:ln>
        </spPr>
        <txPr>
          <a:bodyPr xmlns:a="http://schemas.openxmlformats.org/drawingml/2006/main"/>
          <a:p xmlns:a="http://schemas.openxmlformats.org/drawingml/2006/main">
            <a:pPr>
              <a:defRPr sz="900" b="0">
                <a:solidFill>
                  <a:srgbClr val="52514E"/>
                </a:solidFill>
              </a:defRPr>
            </a:pPr>
            <a:r>
              <a:t>None</a:t>
            </a:r>
          </a:p>
        </txPr>
        <crossAx val="10"/>
      </valAx>
    </plotArea>
    <plotVisOnly val="1"/>
    <dispBlanksAs val="gap"/>
  </chart>
  <spPr>
    <a:solidFill xmlns:a="http://schemas.openxmlformats.org/drawingml/2006/main">
      <a:srgbClr val="FFFFFF"/>
    </a:solidFill>
    <a:ln xmlns:a="http://schemas.openxmlformats.org/drawingml/2006/main">
      <a:solidFill>
        <a:srgbClr val="BFBFBF"/>
      </a:solidFill>
      <a:prstDash val="solid"/>
    </a:ln>
  </spPr>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sz="1100" b="1">
                <a:solidFill>
                  <a:srgbClr val="1F3864"/>
                </a:solidFill>
              </a:defRPr>
            </a:pPr>
            <a:r>
              <a:t>Storingen per jaar per functie</a:t>
            </a:r>
          </a:p>
        </rich>
      </tx>
    </title>
    <plotArea>
      <barChart>
        <barDir val="bar"/>
        <grouping val="clustered"/>
        <ser>
          <idx val="0"/>
          <order val="0"/>
          <tx>
            <strRef>
              <f>'Rapportdata'!C97</f>
            </strRef>
          </tx>
          <spPr>
            <a:solidFill xmlns:a="http://schemas.openxmlformats.org/drawingml/2006/main">
              <a:srgbClr val="1BAF7A"/>
            </a:solidFill>
            <a:ln xmlns:a="http://schemas.openxmlformats.org/drawingml/2006/main">
              <a:noFill/>
              <a:prstDash val="solid"/>
            </a:ln>
          </spPr>
          <cat>
            <numRef>
              <f>'Rapportdata'!$B$98:$B$107</f>
            </numRef>
          </cat>
          <val>
            <numRef>
              <f>'Rapportdata'!$C$98:$C$107</f>
            </numRef>
          </val>
        </ser>
        <dLbls>
          <numFmt formatCode="0.0"/>
          <txPr>
            <a:bodyPr xmlns:a="http://schemas.openxmlformats.org/drawingml/2006/main"/>
            <a:p xmlns:a="http://schemas.openxmlformats.org/drawingml/2006/main">
              <a:pPr>
                <a:defRPr sz="850" b="1">
                  <a:solidFill>
                    <a:srgbClr val="0B0B0B"/>
                  </a:solidFill>
                </a:defRPr>
              </a:pPr>
              <a:r>
                <a:t>None</a:t>
              </a:r>
            </a:p>
          </txPr>
          <showLegendKey val="0"/>
          <showVal val="1"/>
          <showCatName val="0"/>
          <showSerName val="0"/>
        </dLbls>
        <gapWidth val="45"/>
        <axId val="10"/>
        <axId val="100"/>
      </barChart>
      <catAx>
        <axId val="10"/>
        <scaling>
          <orientation val="minMax"/>
        </scaling>
        <delete val="0"/>
        <axPos val="l"/>
        <numFmt formatCode="0.0" sourceLinked="0"/>
        <majorTickMark val="none"/>
        <minorTickMark val="none"/>
        <spPr>
          <a:ln xmlns:a="http://schemas.openxmlformats.org/drawingml/2006/main" w="9525">
            <a:solidFill>
              <a:srgbClr val="BFBFBF"/>
            </a:solidFill>
            <a:prstDash val="solid"/>
          </a:ln>
        </spPr>
        <txPr>
          <a:bodyPr xmlns:a="http://schemas.openxmlformats.org/drawingml/2006/main"/>
          <a:p xmlns:a="http://schemas.openxmlformats.org/drawingml/2006/main">
            <a:pPr>
              <a:defRPr sz="900" b="0">
                <a:solidFill>
                  <a:srgbClr val="52514E"/>
                </a:solidFill>
              </a:defRPr>
            </a:pPr>
            <a:r>
              <a:t>None</a:t>
            </a:r>
          </a:p>
        </txPr>
        <crossAx val="100"/>
        <lblOffset val="100"/>
      </catAx>
      <valAx>
        <axId val="100"/>
        <scaling>
          <orientation val="minMax"/>
        </scaling>
        <delete val="0"/>
        <axPos val="l"/>
        <majorTickMark val="none"/>
        <minorTickMark val="none"/>
        <spPr>
          <a:ln xmlns:a="http://schemas.openxmlformats.org/drawingml/2006/main" w="9525">
            <a:solidFill>
              <a:srgbClr val="BFBFBF"/>
            </a:solidFill>
            <a:prstDash val="solid"/>
          </a:ln>
        </spPr>
        <txPr>
          <a:bodyPr xmlns:a="http://schemas.openxmlformats.org/drawingml/2006/main"/>
          <a:p xmlns:a="http://schemas.openxmlformats.org/drawingml/2006/main">
            <a:pPr>
              <a:defRPr sz="900" b="0">
                <a:solidFill>
                  <a:srgbClr val="52514E"/>
                </a:solidFill>
              </a:defRPr>
            </a:pPr>
            <a:r>
              <a:t>None</a:t>
            </a:r>
          </a:p>
        </txPr>
        <crossAx val="10"/>
      </valAx>
    </plotArea>
    <plotVisOnly val="1"/>
    <dispBlanksAs val="gap"/>
  </chart>
  <spPr>
    <a:solidFill xmlns:a="http://schemas.openxmlformats.org/drawingml/2006/main">
      <a:srgbClr val="FFFFFF"/>
    </a:solidFill>
    <a:ln xmlns:a="http://schemas.openxmlformats.org/drawingml/2006/main">
      <a:solidFill>
        <a:srgbClr val="BFBFBF"/>
      </a:solidFill>
      <a:prstDash val="solid"/>
    </a:ln>
  </spPr>
</chartSpace>
</file>

<file path=xl/comments/comment1.xml><?xml version="1.0" encoding="utf-8"?>
<comments xmlns="http://schemas.openxmlformats.org/spreadsheetml/2006/main">
  <authors>
    <author>Handleiding</author>
  </authors>
  <commentList>
    <comment ref="L6" authorId="0" shapeId="0">
      <text>
        <t>Komt in de titel van de managementrapportage.</t>
      </text>
    </comment>
    <comment ref="L7" authorId="0" shapeId="0">
      <text>
        <t>Naam van het object dat je doorrekent.</t>
      </text>
    </comment>
    <comment ref="L8" authorId="0" shapeId="0">
      <text>
        <t>Aantal exemplaren in beheer (de vloot).</t>
      </text>
    </comment>
    <comment ref="L9" authorId="0" shapeId="0">
      <text>
        <t>Aantal exemplaren dat tegelijk wordt ingezet.</t>
      </text>
    </comment>
    <comment ref="L10" authorId="0" shapeId="0">
      <text>
        <t>Aantal tochten of missies per jaar.</t>
      </text>
    </comment>
    <comment ref="L11" authorId="0" shapeId="0">
      <text>
        <t>Duur van één inzet in dagen.</t>
      </text>
    </comment>
    <comment ref="L12" authorId="0" shapeId="0">
      <text>
        <t>Periode waarover je de kosten bekijkt.</t>
      </text>
    </comment>
    <comment ref="L13" authorId="0" shapeId="0">
      <text>
        <t>Aantal jaren tussen twee grote beurten.</t>
      </text>
    </comment>
    <comment ref="L37" authorId="0" shapeId="0">
      <text>
        <t>Naam van het onderdeel. Gebruik voor dezelfde component steeds dezelfde naam.</t>
      </text>
    </comment>
    <comment ref="M37" authorId="0" shapeId="0">
      <text>
        <t>Aantal van dit onderdeel in het object.</t>
      </text>
    </comment>
    <comment ref="N37" authorId="0" shapeId="0">
      <text>
        <t>J als er een reserve parallel staat, anders N.</t>
      </text>
    </comment>
    <comment ref="O37" authorId="0" shapeId="0">
      <text>
        <t>Kies uit de lijst. Hiermee bepaal je op welk werkblad (PO, TAO of SAO) de regel terechtkomt.</t>
      </text>
    </comment>
    <comment ref="P37" authorId="0" shapeId="0">
      <text>
        <t>Alleen bij correctief onderhoud: Ja of Nee.</t>
      </text>
    </comment>
    <comment ref="Q37" authorId="0" shapeId="0">
      <text>
        <t>Korte omschrijving van de actie; komt op de werklijst.</t>
      </text>
    </comment>
    <comment ref="R37" authorId="0" shapeId="0">
      <text>
        <t>Eigen codering, mag leeg.</t>
      </text>
    </comment>
    <comment ref="S37" authorId="0" shapeId="0">
      <text>
        <t>Aantal keren per eenheid uit de volgende kolom. Twee keer per jaar = 2 met "j".</t>
      </text>
    </comment>
    <comment ref="T37" authorId="0" shapeId="0">
      <text>
        <t>d = dag, w = week, m = maand, j = jaar.</t>
      </text>
    </comment>
    <comment ref="U37" authorId="0" shapeId="0">
      <text>
        <t>j als de actie vóór de inzet gebeurt.</t>
      </text>
    </comment>
    <comment ref="V37" authorId="0" shapeId="0">
      <text>
        <t>j als de actie tijdens de inzet gebeurt.</t>
      </text>
    </comment>
    <comment ref="W37" authorId="0" shapeId="0">
      <text>
        <t>j als de actie alleen in het groot onderhoud gebeurt.</t>
      </text>
    </comment>
    <comment ref="X37" authorId="0" shapeId="0">
      <text>
        <t>Uren per keer voor deze partij.</t>
      </text>
    </comment>
    <comment ref="Y37" authorId="0" shapeId="0">
      <text>
        <t>Uren per keer voor deze partij.</t>
      </text>
    </comment>
    <comment ref="Z37" authorId="0" shapeId="0">
      <text>
        <t>Uren per keer voor deze partij.</t>
      </text>
    </comment>
    <comment ref="AA37" authorId="0" shapeId="0">
      <text>
        <t>Uren per keer voor deze partij.</t>
      </text>
    </comment>
    <comment ref="AB37" authorId="0" shapeId="0">
      <text>
        <t>Uren per keer voor deze partij.</t>
      </text>
    </comment>
    <comment ref="AC37" authorId="0" shapeId="0">
      <text>
        <t>Uren per keer voor deze partij.</t>
      </text>
    </comment>
    <comment ref="AD37" authorId="0" shapeId="0">
      <text>
        <t>Kosten per keer naast de uren: materiaal, voorrijkosten.</t>
      </text>
    </comment>
    <comment ref="AE37" authorId="0" shapeId="0">
      <text>
        <t>Kosten van het reservedeel per keer.</t>
      </text>
    </comment>
    <comment ref="AF37" authorId="0" shapeId="0">
      <text>
        <t>Kosten buiten het object: stilstand, vervangend vervoer.</t>
      </text>
    </comment>
    <comment ref="AG37" authorId="0" shapeId="0">
      <text>
        <t>Faalkans per uur (lambda). 1 storing per 2.000 uur = 0,0005.</t>
      </text>
    </comment>
    <comment ref="AH37" authorId="0" shapeId="0">
      <text>
        <t>Deel van de inzettijd dat het onderdeel in gebruik is.</t>
      </text>
    </comment>
    <comment ref="AI37" authorId="0" shapeId="0">
      <text>
        <t>Deel van de overige tijd dat het onderdeel in gebruik is.</t>
      </text>
    </comment>
    <comment ref="AJ37" authorId="0" shapeId="0">
      <text>
        <t>Hoe lang het object uit bedrijf is voor deze periodieke actie.</t>
      </text>
    </comment>
    <comment ref="AK37" authorId="0" shapeId="0">
      <text>
        <t>Revisie- of vervangingstijd bij toestandsafhankelijk onderhoud.</t>
      </text>
    </comment>
    <comment ref="AL37" authorId="0" shapeId="0">
      <text>
        <t>Tijd om de storing te vinden.</t>
      </text>
    </comment>
    <comment ref="AM37" authorId="0" shapeId="0">
      <text>
        <t>Tijd om de storing te verhelpen.</t>
      </text>
    </comment>
    <comment ref="AN37" authorId="0" shapeId="0">
      <text>
        <t>Wachttijd op een deel tijdens de inzet, inclusief transport.</t>
      </text>
    </comment>
    <comment ref="AO37" authorId="0" shapeId="0">
      <text>
        <t>Levertijd of hersteltijd bij de leverancier.</t>
      </text>
    </comment>
    <comment ref="AP37" authorId="0" shapeId="0">
      <text>
        <t>Wachttijd op de locatie of werkplaats.</t>
      </text>
    </comment>
    <comment ref="AQ37" authorId="0" shapeId="0">
      <text>
        <t>Aantal reservedelen dat meegaat tijdens de inzet.</t>
      </text>
    </comment>
    <comment ref="AR37" authorId="0" shapeId="0">
      <text>
        <t>Aantal reservedelen bij de start op de locatie.</t>
      </text>
    </comment>
    <comment ref="AS37" authorId="0" shapeId="0">
      <text>
        <t>Zet x als deze regel bijdraagt aan functie 1.</t>
      </text>
    </comment>
    <comment ref="AT37" authorId="0" shapeId="0">
      <text>
        <t>Zet x als deze regel bijdraagt aan functie 2.</t>
      </text>
    </comment>
    <comment ref="AU37" authorId="0" shapeId="0">
      <text>
        <t>Zet x als deze regel bijdraagt aan functie 3.</t>
      </text>
    </comment>
    <comment ref="AV37" authorId="0" shapeId="0">
      <text>
        <t>Zet x als deze regel bijdraagt aan functie 4.</t>
      </text>
    </comment>
    <comment ref="AW37" authorId="0" shapeId="0">
      <text>
        <t>Zet x als deze regel bijdraagt aan functie 5.</t>
      </text>
    </comment>
    <comment ref="AX37" authorId="0" shapeId="0">
      <text>
        <t>Zet x als deze regel bijdraagt aan functie 6.</t>
      </text>
    </comment>
    <comment ref="AY37" authorId="0" shapeId="0">
      <text>
        <t>Zet x als deze regel bijdraagt aan functie 7.</t>
      </text>
    </comment>
    <comment ref="AZ37" authorId="0" shapeId="0">
      <text>
        <t>Zet x als deze regel bijdraagt aan functie 8.</t>
      </text>
    </comment>
    <comment ref="BA37" authorId="0" shapeId="0">
      <text>
        <t>Zet x als deze regel bijdraagt aan functie 9.</t>
      </text>
    </comment>
    <comment ref="BB37" authorId="0" shapeId="0">
      <text>
        <t>Zet x als deze regel bijdraagt aan functie 10.</t>
      </text>
    </comment>
    <comment ref="BC37" authorId="0" shapeId="0">
      <text>
        <t>Aantal personen van de eigen organisatie dat de actie uitvoert.</t>
      </text>
    </comment>
    <comment ref="BD37" authorId="0" shapeId="0">
      <text>
        <t>Aantal personen van het bedrijf of de dienst dat de actie uitvoert.</t>
      </text>
    </comment>
    <comment ref="BE37" authorId="0" shapeId="0">
      <text>
        <t>Vrije toelichting bij de regel.</t>
      </text>
    </comment>
  </commentList>
</comments>
</file>

<file path=xl/comments/comment2.xml><?xml version="1.0" encoding="utf-8"?>
<comments xmlns="http://schemas.openxmlformats.org/spreadsheetml/2006/main">
  <authors>
    <author>A satisfied Microsoft Office user</author>
  </authors>
  <commentList>
    <comment ref="BM12" authorId="0" shapeId="0">
      <text>
        <t>is van invloed op de VNB</t>
      </text>
    </comment>
    <comment ref="BN12" authorId="0" shapeId="0">
      <text>
        <t>is van invloed op de VNB</t>
      </text>
    </comment>
    <comment ref="P13" authorId="0" shapeId="0">
      <text>
        <t>Is overgenomen uit kwalitatieve analyse; speelt geen rol bij kwantificering.</t>
      </text>
    </comment>
    <comment ref="Q13" authorId="0" shapeId="0">
      <text>
        <t>Is overgenomen uit kwalitatieve analyse; speelt geen rol bij kwantificering.</t>
      </text>
    </comment>
    <comment ref="R13" authorId="0" shapeId="0">
      <text>
        <t>Is overgenomen uit kwalitatieve analyse; speelt geen rol bij kwantificering.</t>
      </text>
    </comment>
    <comment ref="S13" authorId="0" shapeId="0">
      <text>
        <t>Is overgenomen uit kwalitatieve analyse; speelt geen rol bij kwantificering.</t>
      </text>
    </comment>
    <comment ref="T13" authorId="0" shapeId="0">
      <text>
        <t>Is overgenomen uit kwalitatieve analyse; speelt geen rol bij kwantificering.</t>
      </text>
    </comment>
    <comment ref="U13" authorId="0" shapeId="0">
      <text>
        <t>Is overgenomen uit kwalitatieve analyse; speelt geen rol bij kwantificering.</t>
      </text>
    </comment>
    <comment ref="W13" authorId="0" shapeId="0">
      <text>
        <t>Is van invloed op de VNB tijdens missie</t>
      </text>
    </comment>
    <comment ref="X13" authorId="0" shapeId="0">
      <text>
        <t>Is van invloed op de VNB tijdens missie</t>
      </text>
    </comment>
    <comment ref="Z13" authorId="0" shapeId="0">
      <text>
        <t>alleen indien van toepassing wordt de doorlooptijd tijdens missie bepaald</t>
      </text>
    </comment>
    <comment ref="AA13" authorId="0" shapeId="0">
      <text>
        <t>als zowel gerepareerd wordt als vervangen, dan geldt de doorlooptijd voor vervanging.</t>
      </text>
    </comment>
    <comment ref="AB13" authorId="0" shapeId="0">
      <text>
        <t>Is overgenomen uit kwalitatieve analyse; speelt geen rol bij kwantificering.</t>
      </text>
    </comment>
    <comment ref="AI13" authorId="0" shapeId="0">
      <text>
        <t xml:space="preserve">geeft aan: 
eens in de hoeveel (jaar/maand/week/dagen)
onderhoudstaak optreedt
</t>
      </text>
    </comment>
    <comment ref="AJ13" authorId="0" shapeId="0">
      <text>
        <t xml:space="preserve">tijdseenheid:
j = jaar
m = maand
w = week
d = dag
</t>
      </text>
    </comment>
    <comment ref="BR13" authorId="0" shapeId="0">
      <text>
        <t xml:space="preserve">Tijdsduur inclusief transport om reservedeel uit reservedepot op het schip te krijgen, danwel van een ander schip in walbedrijf te ontvangen
</t>
      </text>
    </comment>
    <comment ref="BT13" authorId="0" shapeId="0">
      <text>
        <t>Tijdsduur om een reservedeel uit de walreserve-voorraad op het schip in walbedrijf  te krijgen</t>
      </text>
    </comment>
    <comment ref="CA13" authorId="0" shapeId="0">
      <text>
        <t xml:space="preserve">j.r. reijnen:
</t>
      </text>
    </comment>
    <comment ref="CB13" authorId="0" shapeId="0">
      <text>
        <t xml:space="preserve">j.r. reijnen:
</t>
      </text>
    </comment>
    <comment ref="CC13" authorId="0" shapeId="0">
      <text>
        <t xml:space="preserve">j.r. reijnen:
</t>
      </text>
    </comment>
    <comment ref="CD13" authorId="0" shapeId="0">
      <text>
        <t>Uitgedrukt per missie uur</t>
      </text>
    </comment>
    <comment ref="CE13" authorId="0" shapeId="0">
      <text>
        <t>Uitgedrukt in waluren</t>
      </text>
    </comment>
    <comment ref="CF13" authorId="0" shapeId="0">
      <text>
        <t>Uitgedrukt in kalendertijd</t>
      </text>
    </comment>
    <comment ref="CG13" authorId="0" shapeId="0">
      <text>
        <t>Als dit percentage gelijk is aan het aantal vaardagen per jaar / 365 , dan zijn de lambda_missie en lambda_wal gelijk aan lambda_component</t>
      </text>
    </comment>
    <comment ref="CH13" authorId="0" shapeId="0">
      <text>
        <t>Uitgedrukt per missie uur</t>
      </text>
    </comment>
    <comment ref="CI13" authorId="0" shapeId="0">
      <text>
        <t>Uitgedrukt in waluren</t>
      </text>
    </comment>
    <comment ref="CJ13" authorId="0" shapeId="0">
      <text>
        <t>Uitgedrukt in kalendertijd</t>
      </text>
    </comment>
    <comment ref="CL13" authorId="0" shapeId="0">
      <text>
        <t>Deze factor is te beschouwen als de kans op functieverlies gegeven een storing aan 1 component van een redundant systeem</t>
      </text>
    </comment>
    <comment ref="CM13" authorId="0" shapeId="0">
      <text>
        <t xml:space="preserve">kans op falen van de functie tijdens missie
</t>
      </text>
    </comment>
    <comment ref="CO13" authorId="0" shapeId="0">
      <text>
        <t xml:space="preserve">kans op falen van de functie tijdens missie
</t>
      </text>
    </comment>
    <comment ref="CP13" authorId="0" shapeId="0">
      <text>
        <t xml:space="preserve">kans op falen van de functie tijdens missie
</t>
      </text>
    </comment>
    <comment ref="DU13" authorId="0" shapeId="0">
      <text>
        <t xml:space="preserve">j.r. reijnen:
</t>
      </text>
    </comment>
    <comment ref="DV13" authorId="0" shapeId="0">
      <text>
        <t xml:space="preserve">j.r. reijnen:
</t>
      </text>
    </comment>
    <comment ref="EA13" authorId="0" shapeId="0">
      <text>
        <t xml:space="preserve">j.r. reijnen:
</t>
      </text>
    </comment>
    <comment ref="EB13" authorId="0" shapeId="0">
      <text>
        <t xml:space="preserve">j.r. reijnen:
</t>
      </text>
    </comment>
    <comment ref="EC13" authorId="0" shapeId="0">
      <text>
        <t xml:space="preserve">j.r. reijnen:
</t>
      </text>
    </comment>
    <comment ref="ED13" authorId="0" shapeId="0">
      <text>
        <t xml:space="preserve">j.r. reijnen:
</t>
      </text>
    </comment>
    <comment ref="EE13" authorId="0" shapeId="0">
      <text>
        <t xml:space="preserve">j.r. reijnen:
</t>
      </text>
    </comment>
  </commentList>
</comments>
</file>

<file path=xl/comments/comment3.xml><?xml version="1.0" encoding="utf-8"?>
<comments xmlns="http://schemas.openxmlformats.org/spreadsheetml/2006/main">
  <authors>
    <author>A satisfied Microsoft Office user</author>
  </authors>
  <commentList>
    <comment ref="F12" authorId="0" shapeId="0">
      <text>
        <t>P.J. Van Gestel:
Alle storingen aan de installatie opgeteld</t>
      </text>
    </comment>
    <comment ref="F14" authorId="0" shapeId="0">
      <text>
        <t>P.J. Van Gestel:
percentage missies zonder functieverlies</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1</col>
      <colOff>0</colOff>
      <row>10</row>
      <rowOff>0</rowOff>
    </from>
    <ext cx="4824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10</row>
      <rowOff>0</rowOff>
    </from>
    <ext cx="4824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28</row>
      <rowOff>0</rowOff>
    </from>
    <ext cx="4824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10</col>
      <colOff>0</colOff>
      <row>28</row>
      <rowOff>0</rowOff>
    </from>
    <ext cx="4824000" cy="28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90.xml><?xml version="1.0" encoding="utf-8"?>
<xdr:wsDr xmlns:xdr="http://schemas.openxmlformats.org/drawingml/2006/spreadsheetDrawing" xmlns:a="http://schemas.openxmlformats.org/drawingml/2006/main">
  <xdr:twoCellAnchor>
    <xdr:from>
      <xdr:col>3</xdr:col>
      <xdr:colOff>95250</xdr:colOff>
      <xdr:row>12</xdr:row>
      <xdr:rowOff>466725</xdr:rowOff>
    </xdr:from>
    <xdr:to>
      <xdr:col>11</xdr:col>
      <xdr:colOff>1600200</xdr:colOff>
      <xdr:row>12</xdr:row>
      <xdr:rowOff>723900</xdr:rowOff>
    </xdr:to>
    <xdr:sp textlink="">
      <xdr:nvSpPr>
        <xdr:cNvPr id="2332" name="Text 1308"/>
        <xdr:cNvSpPr>
          <a:spLocks noChangeArrowheads="1"/>
        </xdr:cNvSpPr>
      </xdr:nvSpPr>
      <xdr:spPr bwMode="auto">
        <a:xfrm>
          <a:off x="695325" y="2438400"/>
          <a:ext cx="2895600" cy="257175"/>
        </a:xfrm>
        <a:prstGeom prst="roundRect">
          <a:avLst>
            <a:gd name="adj" fmla="val 16667"/>
          </a:avLst>
        </a:prstGeom>
        <a:solidFill>
          <a:srgbClr val="DCE6F1"/>
        </a:solidFill>
        <a:ln w="9525">
          <a:solidFill>
            <a:srgbClr val="000000"/>
          </a:solidFill>
          <a:round/>
          <a:headEnd/>
          <a:tailEnd/>
        </a:ln>
      </xdr:spPr>
      <xdr:txBody>
        <a:bodyPr vertOverflow="clip" wrap="square" lIns="27432" tIns="22860" rIns="27432" bIns="22860" anchor="ctr" upright="1"/>
        <a:lstStyle/>
        <a:p>
          <a:pPr algn="ctr" rtl="0">
            <a:defRPr sz="1000"/>
          </a:pPr>
          <a:r>
            <a:rPr lang="nl-NL" sz="900" b="0" i="0" u="none" strike="noStrike" baseline="0">
              <a:solidFill>
                <a:srgbClr val="000000"/>
              </a:solidFill>
              <a:latin typeface="Arial"/>
              <a:cs typeface="Arial"/>
            </a:rPr>
            <a:t>Kolommen tonen / verbergen:  klik linksboven op 1 (compact) of 2 (alles)</a:t>
          </a:r>
        </a:p>
      </xdr:txBody>
    </xdr:sp>
    <xdr:clientData/>
  </xdr:twoCellAnchor>
  <xdr:twoCellAnchor>
    <xdr:from>
      <xdr:col>3</xdr:col>
      <xdr:colOff>85725</xdr:colOff>
      <xdr:row>12</xdr:row>
      <xdr:rowOff>809625</xdr:rowOff>
    </xdr:from>
    <xdr:to>
      <xdr:col>11</xdr:col>
      <xdr:colOff>1590675</xdr:colOff>
      <xdr:row>12</xdr:row>
      <xdr:rowOff>1190625</xdr:rowOff>
    </xdr:to>
    <xdr:sp textlink="">
      <xdr:nvSpPr>
        <xdr:cNvPr id="2397" name="Text 1373"/>
        <xdr:cNvSpPr>
          <a:spLocks noChangeArrowheads="1"/>
        </xdr:cNvSpPr>
      </xdr:nvSpPr>
      <xdr:spPr bwMode="auto">
        <a:xfrm>
          <a:off x="685800" y="2781300"/>
          <a:ext cx="2895600" cy="381000"/>
        </a:xfrm>
        <a:prstGeom prst="roundRect">
          <a:avLst>
            <a:gd name="adj" fmla="val 16667"/>
          </a:avLst>
        </a:prstGeom>
        <a:solidFill>
          <a:srgbClr val="DCE6F1"/>
        </a:solidFill>
        <a:ln w="9525">
          <a:solidFill>
            <a:srgbClr val="000000"/>
          </a:solidFill>
          <a:round/>
          <a:headEnd/>
          <a:tailEnd/>
        </a:ln>
      </xdr:spPr>
      <xdr:txBody>
        <a:bodyPr vertOverflow="clip" wrap="square" lIns="27432" tIns="22860" rIns="27432" bIns="22860" anchor="ctr" upright="1"/>
        <a:lstStyle/>
        <a:p>
          <a:pPr algn="ctr" rtl="0">
            <a:defRPr sz="1000"/>
          </a:pPr>
          <a:r>
            <a:rPr lang="nl-NL" sz="900" b="0" i="0" u="none" strike="noStrike" baseline="0">
              <a:solidFill>
                <a:srgbClr val="000000"/>
              </a:solidFill>
              <a:latin typeface="Arial"/>
              <a:cs typeface="Arial"/>
            </a:rPr>
            <a:t>Dit blad wordt automatisch gevuld vanuit het tabblad Invoer  -  herberekenen met F9</a:t>
          </a:r>
        </a:p>
        <a:p>
          <a:pPr algn="ctr" rtl="0">
            <a:defRPr sz="1000"/>
          </a:pPr>
          <a:endParaRPr lang="nl-NL" sz="900" b="0" i="0" u="none" strike="noStrike" baseline="0">
            <a:solidFill>
              <a:srgbClr val="000000"/>
            </a:solidFill>
            <a:latin typeface="Arial"/>
            <a:cs typeface="Arial"/>
          </a:endParaRPr>
        </a:p>
      </xdr:txBody>
    </xdr:sp>
    <xdr:clientData/>
  </xdr:twoCellAnchor>
  <xdr:twoCellAnchor>
    <xdr:from>
      <xdr:col>3</xdr:col>
      <xdr:colOff>85725</xdr:colOff>
      <xdr:row>12</xdr:row>
      <xdr:rowOff>123825</xdr:rowOff>
    </xdr:from>
    <xdr:to>
      <xdr:col>11</xdr:col>
      <xdr:colOff>1590675</xdr:colOff>
      <xdr:row>12</xdr:row>
      <xdr:rowOff>381000</xdr:rowOff>
    </xdr:to>
    <xdr:sp textlink="">
      <xdr:nvSpPr>
        <xdr:cNvPr id="2465" name="Text 1441"/>
        <xdr:cNvSpPr>
          <a:spLocks noChangeArrowheads="1"/>
        </xdr:cNvSpPr>
      </xdr:nvSpPr>
      <xdr:spPr bwMode="auto">
        <a:xfrm>
          <a:off x="685800" y="2095500"/>
          <a:ext cx="2895600" cy="257175"/>
        </a:xfrm>
        <a:prstGeom prst="roundRect">
          <a:avLst>
            <a:gd name="adj" fmla="val 16667"/>
          </a:avLst>
        </a:prstGeom>
        <a:solidFill>
          <a:srgbClr val="DCE6F1"/>
        </a:solidFill>
        <a:ln w="9525">
          <a:solidFill>
            <a:srgbClr val="000000"/>
          </a:solidFill>
          <a:round/>
          <a:headEnd/>
          <a:tailEnd/>
        </a:ln>
      </xdr:spPr>
      <xdr:txBody>
        <a:bodyPr vertOverflow="clip" wrap="square" lIns="27432" tIns="22860" rIns="27432" bIns="22860" anchor="ctr" upright="1"/>
        <a:lstStyle/>
        <a:p>
          <a:pPr algn="ctr" rtl="0">
            <a:defRPr sz="1000"/>
          </a:pPr>
          <a:r>
            <a:rPr lang="nl-NL" sz="900" b="0" i="0" u="none" strike="noStrike" baseline="0">
              <a:solidFill>
                <a:srgbClr val="000000"/>
              </a:solidFill>
              <a:latin typeface="Arial"/>
              <a:cs typeface="Arial"/>
            </a:rPr>
            <a:t>Onderhoudsregel erbij:  vul een nieuwe regel in de tabel op het tabblad Invoer</a:t>
          </a:r>
        </a:p>
      </xdr:txBody>
    </xdr:sp>
    <xdr:clientData/>
  </xdr:twoCellAnchor>
  <xdr:twoCellAnchor>
    <xdr:from>
      <xdr:col>150</xdr:col>
      <xdr:colOff>9525</xdr:colOff>
      <xdr:row>6</xdr:row>
      <xdr:rowOff>0</xdr:rowOff>
    </xdr:from>
    <xdr:to>
      <xdr:col>153</xdr:col>
      <xdr:colOff>9525</xdr:colOff>
      <xdr:row>7</xdr:row>
      <xdr:rowOff>9525</xdr:rowOff>
    </xdr:to>
    <xdr:sp textlink="">
      <xdr:nvSpPr>
        <xdr:cNvPr id="2508" name="Text 1484"/>
        <xdr:cNvSpPr>
          <a:spLocks noChangeArrowheads="1"/>
        </xdr:cNvSpPr>
      </xdr:nvSpPr>
      <xdr:spPr bwMode="auto">
        <a:xfrm>
          <a:off x="24107775" y="990600"/>
          <a:ext cx="800100" cy="171450"/>
        </a:xfrm>
        <a:prstGeom prst="roundRect">
          <a:avLst>
            <a:gd name="adj" fmla="val 16667"/>
          </a:avLst>
        </a:prstGeom>
        <a:solidFill>
          <a:srgbClr val="DCE6F1"/>
        </a:solidFill>
        <a:ln w="9525">
          <a:solidFill>
            <a:srgbClr val="000000"/>
          </a:solidFill>
          <a:round/>
          <a:headEnd/>
          <a:tailEnd/>
        </a:ln>
      </xdr:spPr>
      <xdr:txBody>
        <a:bodyPr vertOverflow="clip" wrap="square" lIns="27432" tIns="22860" rIns="27432" bIns="22860" anchor="ctr" upright="1"/>
        <a:lstStyle/>
        <a:p>
          <a:pPr algn="ctr" rtl="0">
            <a:defRPr sz="1000"/>
          </a:pPr>
          <a:r>
            <a:rPr lang="nl-NL" sz="1000" b="0" i="0" u="none" strike="noStrike" baseline="0">
              <a:solidFill>
                <a:srgbClr val="000000"/>
              </a:solidFill>
              <a:latin typeface="Arial"/>
              <a:cs typeface="Arial"/>
            </a:rPr>
            <a:t>Functienamen komen van het tabblad Invoer</a:t>
          </a:r>
        </a:p>
      </xdr:txBody>
    </xdr:sp>
    <xdr:clientData/>
  </xdr:twoCellAnchor>
  <xdr:twoCellAnchor>
    <xdr:from>
      <xdr:col>3</xdr:col>
      <xdr:colOff>95250</xdr:colOff>
      <xdr:row>12</xdr:row>
      <xdr:rowOff>1285875</xdr:rowOff>
    </xdr:from>
    <xdr:to>
      <xdr:col>11</xdr:col>
      <xdr:colOff>1600200</xdr:colOff>
      <xdr:row>12</xdr:row>
      <xdr:rowOff>1533525</xdr:rowOff>
    </xdr:to>
    <xdr:sp textlink="">
      <xdr:nvSpPr>
        <xdr:cNvPr id="2550" name="Text 1484"/>
        <xdr:cNvSpPr>
          <a:spLocks noChangeArrowheads="1"/>
        </xdr:cNvSpPr>
      </xdr:nvSpPr>
      <xdr:spPr bwMode="auto">
        <a:xfrm>
          <a:off x="695325" y="3257550"/>
          <a:ext cx="2895600" cy="247650"/>
        </a:xfrm>
        <a:prstGeom prst="roundRect">
          <a:avLst>
            <a:gd name="adj" fmla="val 16667"/>
          </a:avLst>
        </a:prstGeom>
        <a:solidFill>
          <a:srgbClr val="DCE6F1"/>
        </a:solidFill>
        <a:ln w="9525">
          <a:solidFill>
            <a:srgbClr val="000000"/>
          </a:solidFill>
          <a:round/>
          <a:headEnd/>
          <a:tailEnd/>
        </a:ln>
      </xdr:spPr>
      <xdr:txBody>
        <a:bodyPr vertOverflow="clip" wrap="square" lIns="27432" tIns="22860" rIns="27432" bIns="22860" anchor="ctr" upright="1"/>
        <a:lstStyle/>
        <a:p>
          <a:pPr algn="ctr" rtl="0">
            <a:defRPr sz="1000"/>
          </a:pPr>
          <a:r>
            <a:rPr lang="nl-NL" sz="900" b="0" i="0" u="none" strike="noStrike" baseline="0">
              <a:solidFill>
                <a:srgbClr val="000000"/>
              </a:solidFill>
              <a:latin typeface="Arial"/>
              <a:cs typeface="Arial"/>
            </a:rPr>
            <a:t>Functienamen:  invullen op het tabblad Invoer, blok "Functies"</a:t>
          </a:r>
        </a:p>
      </xdr:txBody>
    </xdr:sp>
    <xdr:clientData/>
  </xdr:twoCellAnchor>
  <xdr:twoCellAnchor>
    <xdr:from>
      <xdr:col>3</xdr:col>
      <xdr:colOff>95250</xdr:colOff>
      <xdr:row>12</xdr:row>
      <xdr:rowOff>1628775</xdr:rowOff>
    </xdr:from>
    <xdr:to>
      <xdr:col>11</xdr:col>
      <xdr:colOff>1600200</xdr:colOff>
      <xdr:row>12</xdr:row>
      <xdr:rowOff>1981200</xdr:rowOff>
    </xdr:to>
    <xdr:sp textlink="">
      <xdr:nvSpPr>
        <xdr:cNvPr id="2592" name="Text 1484"/>
        <xdr:cNvSpPr>
          <a:spLocks noChangeArrowheads="1"/>
        </xdr:cNvSpPr>
      </xdr:nvSpPr>
      <xdr:spPr bwMode="auto">
        <a:xfrm>
          <a:off x="695325" y="3600450"/>
          <a:ext cx="2895600" cy="352425"/>
        </a:xfrm>
        <a:prstGeom prst="roundRect">
          <a:avLst>
            <a:gd name="adj" fmla="val 16667"/>
          </a:avLst>
        </a:prstGeom>
        <a:solidFill>
          <a:srgbClr val="DCE6F1"/>
        </a:solidFill>
        <a:ln w="9525">
          <a:solidFill>
            <a:srgbClr val="000000"/>
          </a:solidFill>
          <a:round/>
          <a:headEnd/>
          <a:tailEnd/>
        </a:ln>
      </xdr:spPr>
      <xdr:txBody>
        <a:bodyPr vertOverflow="clip" wrap="square" lIns="27432" tIns="22860" rIns="27432" bIns="22860" anchor="ctr" upright="1"/>
        <a:lstStyle/>
        <a:p>
          <a:pPr algn="ctr" rtl="0">
            <a:defRPr sz="1000"/>
          </a:pPr>
          <a:r>
            <a:rPr lang="nl-NL" sz="900" b="0" i="0" u="none" strike="noStrike" baseline="0">
              <a:solidFill>
                <a:srgbClr val="000000"/>
              </a:solidFill>
              <a:latin typeface="Arial"/>
              <a:cs typeface="Arial"/>
            </a:rPr>
            <a:t>Aantal niveaus:  gebruik de groepeerknoppen boven de kolommen C t/m K</a:t>
          </a:r>
        </a:p>
      </xdr:txBody>
    </xdr:sp>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 Id="rId1" Type="http://schemas.openxmlformats.org/officeDocument/2006/relationships/drawing" Target="../drawings/drawing90.xml"/></Relationships>
</file>

<file path=xl/worksheets/_rels/sheet8.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tabColor rgb="001F3864"/>
    <outlinePr summaryBelow="1" summaryRight="1"/>
    <pageSetUpPr fitToPage="1"/>
  </sheetPr>
  <dimension ref="B2:T59"/>
  <sheetViews>
    <sheetView showGridLines="0" workbookViewId="0">
      <pane ySplit="3" topLeftCell="A4" activePane="bottomLeft" state="frozen"/>
      <selection pane="bottomLeft" activeCell="A1" sqref="A1"/>
    </sheetView>
  </sheetViews>
  <sheetFormatPr baseColWidth="8" defaultRowHeight="15"/>
  <cols>
    <col width="2.5" customWidth="1" style="189" min="1" max="1"/>
    <col width="9.300000000000001" customWidth="1" style="189" min="2" max="2"/>
    <col width="9.300000000000001" customWidth="1" style="189" min="3" max="3"/>
    <col width="9.300000000000001" customWidth="1" style="189" min="4" max="4"/>
    <col width="9.300000000000001" customWidth="1" style="189" min="5" max="5"/>
    <col width="9.300000000000001" customWidth="1" style="189" min="6" max="6"/>
    <col width="9.300000000000001" customWidth="1" style="189" min="7" max="7"/>
    <col width="9.300000000000001" customWidth="1" style="189" min="8" max="8"/>
    <col width="9.300000000000001" customWidth="1" style="189" min="9" max="9"/>
    <col width="9.300000000000001" customWidth="1" style="189" min="10" max="10"/>
    <col width="9.300000000000001" customWidth="1" style="189" min="11" max="11"/>
    <col width="9.300000000000001" customWidth="1" style="189" min="12" max="12"/>
    <col width="9.300000000000001" customWidth="1" style="189" min="13" max="13"/>
    <col width="9.300000000000001" customWidth="1" style="189" min="14" max="14"/>
    <col width="9.300000000000001" customWidth="1" style="189" min="15" max="15"/>
    <col width="9.300000000000001" customWidth="1" style="189" min="16" max="16"/>
    <col width="9.300000000000001" customWidth="1" style="189" min="17" max="17"/>
    <col width="9.300000000000001" customWidth="1" style="189" min="18" max="18"/>
    <col width="9.300000000000001" customWidth="1" style="189" min="19" max="19"/>
    <col width="9.300000000000001" customWidth="1" style="189" min="20" max="20"/>
    <col width="2.5" customWidth="1" style="189" min="21" max="21"/>
  </cols>
  <sheetData>
    <row r="2" ht="34" customHeight="1" s="189">
      <c r="B2" s="490">
        <f>CONCATENATE("Instandhoudingskosten &amp; prestaties  |  ",Algemeen!R4)</f>
        <v/>
      </c>
    </row>
    <row r="3" ht="16" customHeight="1" s="189">
      <c r="B3" s="491">
        <f>CONCATENATE("Beheerder: ",Algemeen!R3,"   |   ",Algemeen!O3," object(en) · ",Algemeen!O5," tochten per jaar van ",Algemeen!O6," dagen · looptijd ",Looptijd," jaar","   |   bron: IHCKWANT-model")</f>
        <v/>
      </c>
    </row>
    <row r="4" ht="14" customHeight="1" s="189">
      <c r="B4" s="491" t="inlineStr">
        <is>
          <t>Rapportagedatum:</t>
        </is>
      </c>
      <c r="Q4" s="587">
        <f>TODAY()</f>
        <v/>
      </c>
    </row>
    <row r="5" ht="18" customHeight="1" s="189">
      <c r="B5" s="588" t="inlineStr">
        <is>
          <t>Onderhoudskosten</t>
        </is>
      </c>
      <c r="C5" s="589" t="n"/>
      <c r="D5" s="590" t="n"/>
      <c r="E5" s="588" t="inlineStr">
        <is>
          <t>Kosten looptijd</t>
        </is>
      </c>
      <c r="F5" s="589" t="n"/>
      <c r="G5" s="590" t="n"/>
      <c r="H5" s="588" t="inlineStr">
        <is>
          <t>Aandeel correctief</t>
        </is>
      </c>
      <c r="I5" s="589" t="n"/>
      <c r="J5" s="590" t="n"/>
      <c r="K5" s="588" t="inlineStr">
        <is>
          <t>Storingen</t>
        </is>
      </c>
      <c r="L5" s="589" t="n"/>
      <c r="M5" s="590" t="n"/>
      <c r="N5" s="588" t="inlineStr">
        <is>
          <t>Storingsvrije tocht</t>
        </is>
      </c>
      <c r="O5" s="589" t="n"/>
      <c r="P5" s="590" t="n"/>
      <c r="Q5" s="588" t="inlineStr">
        <is>
          <t>Niet-beschikbaar</t>
        </is>
      </c>
      <c r="R5" s="589" t="n"/>
      <c r="S5" s="590" t="n"/>
    </row>
    <row r="6" ht="30" customHeight="1" s="189">
      <c r="B6" s="591">
        <f>tot_OH</f>
        <v/>
      </c>
      <c r="D6" s="592" t="n"/>
      <c r="E6" s="591">
        <f>(tot_OH+tot_resdel_kosten+tot_OH_gevolg)*Looptijd</f>
        <v/>
      </c>
      <c r="G6" s="592" t="n"/>
      <c r="H6" s="593">
        <f>IF(tot_OH=0,0,SAO!AP21/tot_OH)</f>
        <v/>
      </c>
      <c r="J6" s="592" t="n"/>
      <c r="K6" s="594">
        <f>tot_storingsfreq*8760</f>
        <v/>
      </c>
      <c r="M6" s="592" t="n"/>
      <c r="N6" s="593">
        <f>EXP(-tot_storingsfrequentie_missie*Missieduur)</f>
        <v/>
      </c>
      <c r="P6" s="592" t="n"/>
      <c r="Q6" s="593">
        <f>tot_ONB_missie</f>
        <v/>
      </c>
      <c r="S6" s="592" t="n"/>
    </row>
    <row r="7" ht="14" customHeight="1" s="189">
      <c r="B7" s="595" t="inlineStr">
        <is>
          <t>per jaar · PO + TAO + correctief</t>
        </is>
      </c>
      <c r="C7" s="596" t="n"/>
      <c r="D7" s="597" t="n"/>
      <c r="E7" s="595">
        <f>CONCATENATE("totaal over ",Looptijd," jaar")</f>
        <v/>
      </c>
      <c r="F7" s="596" t="n"/>
      <c r="G7" s="597" t="n"/>
      <c r="H7" s="595" t="inlineStr">
        <is>
          <t>van de onderhoudskosten</t>
        </is>
      </c>
      <c r="I7" s="596" t="n"/>
      <c r="J7" s="597" t="n"/>
      <c r="K7" s="595" t="inlineStr">
        <is>
          <t>per jaar · alle componenten</t>
        </is>
      </c>
      <c r="L7" s="596" t="n"/>
      <c r="M7" s="597" t="n"/>
      <c r="N7" s="595" t="inlineStr">
        <is>
          <t>kans op een tocht zonder storing</t>
        </is>
      </c>
      <c r="O7" s="596" t="n"/>
      <c r="P7" s="597" t="n"/>
      <c r="Q7" s="595" t="inlineStr">
        <is>
          <t>aandeel van de tochttijd</t>
        </is>
      </c>
      <c r="R7" s="596" t="n"/>
      <c r="S7" s="597" t="n"/>
    </row>
    <row r="9">
      <c r="B9" s="504" t="inlineStr">
        <is>
          <t>Waar gaat het geld naartoe?</t>
        </is>
      </c>
    </row>
    <row r="10">
      <c r="B10" s="505" t="inlineStr">
        <is>
          <t>Onderhoudskosten per jaar, verdeeld naar onderhoudssoort en naar component.</t>
        </is>
      </c>
    </row>
    <row r="27">
      <c r="B27" s="504" t="inlineStr">
        <is>
          <t>Kosten over de looptijd en betrouwbaarheid</t>
        </is>
      </c>
    </row>
    <row r="28">
      <c r="B28" s="505" t="inlineStr">
        <is>
          <t>Cumulatieve kosten over de gehele looptijd en de storingsfrequentie per functie.</t>
        </is>
      </c>
    </row>
    <row r="47">
      <c r="B47" s="504" t="inlineStr">
        <is>
          <t>Uitgangspunten en herkomst</t>
        </is>
      </c>
    </row>
    <row r="48">
      <c r="B48" s="505" t="inlineStr">
        <is>
          <t>Alle cijfers komen rechtstreeks uit het rekenmodel; op dit tabblad wordt niets ingevoerd.</t>
        </is>
      </c>
    </row>
    <row r="49">
      <c r="B49" s="506" t="inlineStr">
        <is>
          <t>Aantal objecten</t>
        </is>
      </c>
      <c r="C49" s="598" t="n"/>
      <c r="D49" s="598" t="n"/>
      <c r="E49" s="598" t="n"/>
      <c r="F49" s="508">
        <f>Algemeen!O3</f>
        <v/>
      </c>
      <c r="G49" s="598" t="n"/>
      <c r="I49" s="506" t="inlineStr">
        <is>
          <t>Controle werklijsten vs. Algemeen</t>
        </is>
      </c>
      <c r="J49" s="598" t="n"/>
      <c r="K49" s="598" t="n"/>
      <c r="L49" s="598" t="n"/>
      <c r="M49" s="599">
        <f>Rapportdata!C68</f>
        <v/>
      </c>
      <c r="N49" s="598" t="n"/>
    </row>
    <row r="50">
      <c r="B50" s="506" t="inlineStr">
        <is>
          <t>Tochten per jaar</t>
        </is>
      </c>
      <c r="C50" s="598" t="n"/>
      <c r="D50" s="598" t="n"/>
      <c r="E50" s="598" t="n"/>
      <c r="F50" s="508">
        <f>Algemeen!O5</f>
        <v/>
      </c>
      <c r="G50" s="598" t="n"/>
      <c r="I50" s="506" t="inlineStr">
        <is>
          <t>Kosten reservedelen per jaar</t>
        </is>
      </c>
      <c r="J50" s="598" t="n"/>
      <c r="K50" s="598" t="n"/>
      <c r="L50" s="598" t="n"/>
      <c r="M50" s="599">
        <f>tot_resdel_kosten</f>
        <v/>
      </c>
      <c r="N50" s="598" t="n"/>
    </row>
    <row r="51">
      <c r="B51" s="506" t="inlineStr">
        <is>
          <t>Dagen per tocht</t>
        </is>
      </c>
      <c r="C51" s="598" t="n"/>
      <c r="D51" s="598" t="n"/>
      <c r="E51" s="598" t="n"/>
      <c r="F51" s="508">
        <f>Algemeen!O6</f>
        <v/>
      </c>
      <c r="G51" s="598" t="n"/>
      <c r="I51" s="506" t="inlineStr">
        <is>
          <t>Gevolgkosten per jaar</t>
        </is>
      </c>
      <c r="J51" s="598" t="n"/>
      <c r="K51" s="598" t="n"/>
      <c r="L51" s="598" t="n"/>
      <c r="M51" s="599">
        <f>tot_OH_gevolg</f>
        <v/>
      </c>
      <c r="N51" s="598" t="n"/>
    </row>
    <row r="52">
      <c r="B52" s="506" t="inlineStr">
        <is>
          <t>Looptijd (jaar)</t>
        </is>
      </c>
      <c r="C52" s="598" t="n"/>
      <c r="D52" s="598" t="n"/>
      <c r="E52" s="598" t="n"/>
      <c r="F52" s="508">
        <f>Looptijd</f>
        <v/>
      </c>
      <c r="G52" s="598" t="n"/>
      <c r="I52" s="506" t="inlineStr">
        <is>
          <t>Kans niet beschikbaar bij start tocht</t>
        </is>
      </c>
      <c r="J52" s="598" t="n"/>
      <c r="K52" s="598" t="n"/>
      <c r="L52" s="598" t="n"/>
      <c r="M52" s="600">
        <f>tot_ONB_aanvang</f>
        <v/>
      </c>
      <c r="N52" s="598" t="n"/>
    </row>
    <row r="53">
      <c r="B53" s="506" t="inlineStr">
        <is>
          <t>Interval groot onderhoud (jaar)</t>
        </is>
      </c>
      <c r="C53" s="598" t="n"/>
      <c r="D53" s="598" t="n"/>
      <c r="E53" s="598" t="n"/>
      <c r="F53" s="508">
        <f>Algemeen!O10</f>
        <v/>
      </c>
      <c r="G53" s="598" t="n"/>
      <c r="I53" s="506" t="inlineStr">
        <is>
          <t>Aantal functies in het model</t>
        </is>
      </c>
      <c r="J53" s="598" t="n"/>
      <c r="K53" s="598" t="n"/>
      <c r="L53" s="598" t="n"/>
      <c r="M53" s="508">
        <f>COUNTIF(Rapportdata!$B$98:$B$107,"?*")</f>
        <v/>
      </c>
      <c r="N53" s="598" t="n"/>
    </row>
    <row r="54">
      <c r="B54" s="506" t="inlineStr">
        <is>
          <t>Uurtarief verhuurder / huurder / monteur</t>
        </is>
      </c>
      <c r="C54" s="598" t="n"/>
      <c r="D54" s="598" t="n"/>
      <c r="E54" s="598" t="n"/>
      <c r="F54" s="511">
        <f>CONCATENATE("€ ",TEXT(Algemeen!AP14,"0")," / € ",TEXT(Algemeen!AQ14,"0")," / € ",TEXT(Algemeen!AR14,"0"))</f>
        <v/>
      </c>
      <c r="G54" s="598" t="n"/>
      <c r="I54" s="506" t="inlineStr">
        <is>
          <t>Controle componenten vs. totaal</t>
        </is>
      </c>
      <c r="J54" s="598" t="n"/>
      <c r="K54" s="598" t="n"/>
      <c r="L54" s="598" t="n"/>
      <c r="M54" s="599">
        <f>Rapportdata!C66</f>
        <v/>
      </c>
      <c r="N54" s="598" t="n"/>
    </row>
    <row r="56" ht="11" customHeight="1" s="189">
      <c r="B56" s="512" t="inlineStr">
        <is>
          <t>PO = periodiek onderhoud · TAO = toestandsafhankelijk onderhoud · SAO = correctief onderhoud. Storingsvrije tocht is de kans dat een tocht zonder storing wordt afgerond; niet-beschikbaar is het aandeel van de tochttijd dat het object niet inzetbaar is. Onderliggende berekeningen staan op het tabblad Algemeen, de rekenbladen van de grafieken op het tabblad Rapportdata.</t>
        </is>
      </c>
    </row>
    <row r="57" ht="11" customHeight="1" s="189"/>
    <row r="58" ht="11" customHeight="1" s="189"/>
    <row r="59" ht="11" customHeight="1" s="189"/>
  </sheetData>
  <mergeCells count="47">
    <mergeCell ref="I52:L52"/>
    <mergeCell ref="Q5:S5"/>
    <mergeCell ref="B49:E49"/>
    <mergeCell ref="F54:G54"/>
    <mergeCell ref="I51:L51"/>
    <mergeCell ref="N5:P5"/>
    <mergeCell ref="M52:N52"/>
    <mergeCell ref="M49:N49"/>
    <mergeCell ref="B51:E51"/>
    <mergeCell ref="B56:T59"/>
    <mergeCell ref="H7:J7"/>
    <mergeCell ref="E6:G6"/>
    <mergeCell ref="Q6:S6"/>
    <mergeCell ref="I50:L50"/>
    <mergeCell ref="B50:E50"/>
    <mergeCell ref="M51:N51"/>
    <mergeCell ref="F51:G51"/>
    <mergeCell ref="M54:N54"/>
    <mergeCell ref="B54:E54"/>
    <mergeCell ref="F50:G50"/>
    <mergeCell ref="E7:G7"/>
    <mergeCell ref="K7:M7"/>
    <mergeCell ref="N6:P6"/>
    <mergeCell ref="B6:D6"/>
    <mergeCell ref="I49:L49"/>
    <mergeCell ref="B3:T3"/>
    <mergeCell ref="B5:D5"/>
    <mergeCell ref="K6:M6"/>
    <mergeCell ref="H5:J5"/>
    <mergeCell ref="B52:E52"/>
    <mergeCell ref="B4:D4"/>
    <mergeCell ref="I54:L54"/>
    <mergeCell ref="Q7:S7"/>
    <mergeCell ref="B7:D7"/>
    <mergeCell ref="B2:T2"/>
    <mergeCell ref="F52:G52"/>
    <mergeCell ref="N7:P7"/>
    <mergeCell ref="B53:E53"/>
    <mergeCell ref="Q4:T4"/>
    <mergeCell ref="I53:L53"/>
    <mergeCell ref="E5:G5"/>
    <mergeCell ref="K5:M5"/>
    <mergeCell ref="F49:G49"/>
    <mergeCell ref="M50:N50"/>
    <mergeCell ref="M53:N53"/>
    <mergeCell ref="F53:G53"/>
    <mergeCell ref="H6:J6"/>
  </mergeCells>
  <pageMargins left="0.75" right="0.75" top="1" bottom="1" header="0.5" footer="0.5"/>
  <pageSetup orientation="landscape" fitToHeight="1" fitToWidth="1"/>
  <headerFooter>
    <oddHeader/>
    <oddFooter>&amp;CIHCKWANT managementrapportage · &amp;A · pagina &amp;P van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2A78D6"/>
    <outlinePr summaryBelow="1" summaryRight="1"/>
    <pageSetUpPr fitToPage="1"/>
  </sheetPr>
  <dimension ref="A2:BV66"/>
  <sheetViews>
    <sheetView showGridLines="0" zoomScale="90" workbookViewId="0">
      <pane xSplit="11" topLeftCell="L1" activePane="topRight" state="frozen"/>
      <selection pane="topRight" activeCell="A1" sqref="A1"/>
    </sheetView>
  </sheetViews>
  <sheetFormatPr baseColWidth="8" defaultRowHeight="15"/>
  <cols>
    <col width="4" customWidth="1" style="189" min="1" max="1"/>
    <col width="3.2" customWidth="1" style="189" min="2" max="2"/>
    <col width="3.2" customWidth="1" style="189" min="3" max="3"/>
    <col width="3.2" customWidth="1" style="189" min="4" max="4"/>
    <col width="3.2" customWidth="1" style="189" min="5" max="5"/>
    <col width="3.2" customWidth="1" style="189" min="6" max="6"/>
    <col width="3.2" customWidth="1" style="189" min="7" max="7"/>
    <col width="3.2" customWidth="1" style="189" min="8" max="8"/>
    <col width="3.2" customWidth="1" style="189" min="9" max="9"/>
    <col width="3.2" customWidth="1" style="189" min="10" max="10"/>
    <col width="3.2" customWidth="1" style="189" min="11" max="11"/>
    <col width="22" customWidth="1" style="189" min="12" max="12"/>
    <col width="7" customWidth="1" style="189" min="13" max="13"/>
    <col width="8" customWidth="1" style="189" min="14" max="14"/>
    <col width="24" customWidth="1" style="189" min="15" max="15"/>
    <col width="8" customWidth="1" style="189" min="16" max="16"/>
    <col width="26" customWidth="1" style="189" min="17" max="17"/>
    <col width="9" customWidth="1" style="189" min="18" max="18"/>
    <col width="9" customWidth="1" style="189" min="19" max="19"/>
    <col width="6" customWidth="1" style="189" min="20" max="20"/>
    <col width="6" customWidth="1" style="189" min="21" max="21"/>
    <col width="6" customWidth="1" style="189" min="22" max="22"/>
    <col width="6" customWidth="1" style="189" min="23" max="23"/>
    <col width="7" customWidth="1" style="189" min="24" max="24"/>
    <col width="7" customWidth="1" style="189" min="25" max="25"/>
    <col width="7" customWidth="1" style="189" min="26" max="26"/>
    <col width="7" customWidth="1" style="189" min="27" max="27"/>
    <col width="7" customWidth="1" style="189" min="28" max="28"/>
    <col width="7" customWidth="1" style="189" min="29" max="29"/>
    <col width="9" customWidth="1" style="189" min="30" max="30"/>
    <col width="9" customWidth="1" style="189" min="31" max="31"/>
    <col width="9" customWidth="1" style="189" min="32" max="32"/>
    <col width="10" customWidth="1" style="189" min="33" max="33"/>
    <col width="7" customWidth="1" style="189" min="34" max="34"/>
    <col width="7" customWidth="1" style="189" min="35" max="35"/>
    <col width="7" customWidth="1" style="189" min="36" max="36"/>
    <col width="7" customWidth="1" style="189" min="37" max="37"/>
    <col width="7" customWidth="1" style="189" min="38" max="38"/>
    <col width="7" customWidth="1" style="189" min="39" max="39"/>
    <col width="7" customWidth="1" style="189" min="40" max="40"/>
    <col width="7" customWidth="1" style="189" min="41" max="41"/>
    <col width="7" customWidth="1" style="189" min="42" max="42"/>
    <col width="6" customWidth="1" style="189" min="43" max="43"/>
    <col width="6" customWidth="1" style="189" min="44" max="44"/>
    <col width="3.6" customWidth="1" style="189" min="45" max="45"/>
    <col width="3.6" customWidth="1" style="189" min="46" max="46"/>
    <col width="3.6" customWidth="1" style="189" min="47" max="47"/>
    <col width="3.6" customWidth="1" style="189" min="48" max="48"/>
    <col width="3.6" customWidth="1" style="189" min="49" max="49"/>
    <col width="3.6" customWidth="1" style="189" min="50" max="50"/>
    <col width="3.6" customWidth="1" style="189" min="51" max="51"/>
    <col width="3.6" customWidth="1" style="189" min="52" max="52"/>
    <col width="3.6" customWidth="1" style="189" min="53" max="53"/>
    <col width="3.6" customWidth="1" style="189" min="54" max="54"/>
    <col width="7" customWidth="1" style="189" min="55" max="55"/>
    <col width="7" customWidth="1" style="189" min="56" max="56"/>
    <col width="20" customWidth="1" style="189" min="57" max="57"/>
    <col hidden="1" width="13" customWidth="1" style="189" min="59" max="59"/>
    <col hidden="1" width="13" customWidth="1" style="189" min="60" max="60"/>
    <col hidden="1" width="13" customWidth="1" style="189" min="61" max="61"/>
    <col hidden="1" width="13" customWidth="1" style="189" min="63" max="63"/>
    <col hidden="1" width="13" customWidth="1" style="189" min="64" max="64"/>
    <col hidden="1" width="13" customWidth="1" style="189" min="65" max="65"/>
    <col hidden="1" width="13" customWidth="1" style="189" min="66" max="66"/>
    <col hidden="1" width="13" customWidth="1" style="189" min="67" max="67"/>
    <col hidden="1" width="13" customWidth="1" style="189" min="68" max="68"/>
    <col hidden="1" width="13" customWidth="1" style="189" min="69" max="69"/>
    <col hidden="1" width="13" customWidth="1" style="189" min="70" max="70"/>
    <col hidden="1" width="13" customWidth="1" style="189" min="71" max="71"/>
    <col hidden="1" width="13" customWidth="1" style="189" min="72" max="72"/>
    <col hidden="1" width="13" customWidth="1" style="189" min="74" max="74"/>
  </cols>
  <sheetData>
    <row r="2">
      <c r="B2" s="601" t="inlineStr">
        <is>
          <t>Invoerblad</t>
        </is>
      </c>
    </row>
    <row r="3">
      <c r="B3" s="602" t="inlineStr">
        <is>
          <t>Alles wat je invult staat op dit blad. De tabbladen Algemeen, PO, TAO en SAO vullen zichzelf, en de Managementrapportage rekent direct mee. Wit omrande cellen zijn invoervelden.</t>
        </is>
      </c>
    </row>
    <row r="5">
      <c r="B5" s="504" t="inlineStr">
        <is>
          <t>1. Object en gebruik</t>
        </is>
      </c>
    </row>
    <row r="6">
      <c r="B6" s="603" t="inlineStr">
        <is>
          <t>Naam beheerder</t>
        </is>
      </c>
      <c r="L6" s="604" t="inlineStr">
        <is>
          <t>Fietsverhuurder</t>
        </is>
      </c>
      <c r="M6" s="605" t="n"/>
      <c r="N6" s="606" t="n"/>
    </row>
    <row r="7">
      <c r="B7" s="603" t="inlineStr">
        <is>
          <t>Naam object</t>
        </is>
      </c>
      <c r="L7" s="604" t="inlineStr">
        <is>
          <t>Fiets</t>
        </is>
      </c>
      <c r="M7" s="605" t="n"/>
      <c r="N7" s="606" t="n"/>
    </row>
    <row r="8">
      <c r="B8" s="603" t="inlineStr">
        <is>
          <t>Aantal objecten</t>
        </is>
      </c>
      <c r="L8" s="607" t="n">
        <v>1</v>
      </c>
      <c r="M8" s="605" t="n"/>
      <c r="N8" s="606" t="n"/>
    </row>
    <row r="9">
      <c r="B9" s="603" t="inlineStr">
        <is>
          <t>Aantal per inzet</t>
        </is>
      </c>
      <c r="L9" s="607" t="n">
        <v>1</v>
      </c>
      <c r="M9" s="605" t="n"/>
      <c r="N9" s="606" t="n"/>
    </row>
    <row r="10">
      <c r="B10" s="603" t="inlineStr">
        <is>
          <t>Aantal inzetten per jaar</t>
        </is>
      </c>
      <c r="L10" s="607" t="n">
        <v>30</v>
      </c>
      <c r="M10" s="605" t="n"/>
      <c r="N10" s="606" t="n"/>
    </row>
    <row r="11">
      <c r="B11" s="603" t="inlineStr">
        <is>
          <t>Dagen per inzet</t>
        </is>
      </c>
      <c r="L11" s="607" t="n">
        <v>5</v>
      </c>
      <c r="M11" s="605" t="n"/>
      <c r="N11" s="606" t="n"/>
    </row>
    <row r="12">
      <c r="B12" s="603" t="inlineStr">
        <is>
          <t>Looptijd (jaar)</t>
        </is>
      </c>
      <c r="L12" s="607" t="n">
        <v>10</v>
      </c>
      <c r="M12" s="605" t="n"/>
      <c r="N12" s="606" t="n"/>
    </row>
    <row r="13">
      <c r="B13" s="603" t="inlineStr">
        <is>
          <t>Interval groot onderhoud (jaar)</t>
        </is>
      </c>
      <c r="L13" s="607" t="n">
        <v>3</v>
      </c>
      <c r="M13" s="605" t="n"/>
      <c r="N13" s="606" t="n"/>
    </row>
    <row r="15">
      <c r="B15" s="504" t="inlineStr">
        <is>
          <t>2. Uurtarieven</t>
        </is>
      </c>
      <c r="J15" s="570" t="inlineStr">
        <is>
          <t>(euro per uur, per uitvoerende partij)</t>
        </is>
      </c>
    </row>
    <row r="16">
      <c r="B16" s="603" t="inlineStr">
        <is>
          <t>Verhuurder</t>
        </is>
      </c>
      <c r="L16" s="608" t="n">
        <v>20</v>
      </c>
      <c r="M16" s="605" t="n"/>
      <c r="N16" s="606" t="n"/>
    </row>
    <row r="17">
      <c r="B17" s="603" t="inlineStr">
        <is>
          <t>Huurder</t>
        </is>
      </c>
      <c r="L17" s="608" t="n">
        <v>100</v>
      </c>
      <c r="M17" s="605" t="n"/>
      <c r="N17" s="606" t="n"/>
    </row>
    <row r="18">
      <c r="B18" s="603" t="inlineStr">
        <is>
          <t>Monteur</t>
        </is>
      </c>
      <c r="L18" s="608" t="n">
        <v>50</v>
      </c>
      <c r="M18" s="605" t="n"/>
      <c r="N18" s="606" t="n"/>
    </row>
    <row r="19">
      <c r="B19" s="603" t="inlineStr">
        <is>
          <t>Partij 4</t>
        </is>
      </c>
      <c r="L19" s="608" t="n">
        <v>100</v>
      </c>
      <c r="M19" s="605" t="n"/>
      <c r="N19" s="606" t="n"/>
    </row>
    <row r="20">
      <c r="B20" s="603" t="inlineStr">
        <is>
          <t>Partij 5</t>
        </is>
      </c>
      <c r="L20" s="608" t="n">
        <v>100</v>
      </c>
      <c r="M20" s="605" t="n"/>
      <c r="N20" s="606" t="n"/>
    </row>
    <row r="21">
      <c r="B21" s="603" t="inlineStr">
        <is>
          <t>Partij 6</t>
        </is>
      </c>
      <c r="L21" s="608" t="n">
        <v>100</v>
      </c>
      <c r="M21" s="605" t="n"/>
      <c r="N21" s="606" t="n"/>
    </row>
    <row r="23">
      <c r="B23" s="504" t="inlineStr">
        <is>
          <t>3. Functies</t>
        </is>
      </c>
      <c r="J23" s="570" t="inlineStr">
        <is>
          <t>(prestaties waarop je rapporteert; niet gebruikte functies leeg laten)</t>
        </is>
      </c>
    </row>
    <row r="24">
      <c r="B24" s="603" t="inlineStr">
        <is>
          <t>Functie 1</t>
        </is>
      </c>
      <c r="L24" s="604" t="inlineStr">
        <is>
          <t>Fietsen</t>
        </is>
      </c>
      <c r="M24" s="605" t="n"/>
      <c r="N24" s="606" t="n"/>
    </row>
    <row r="25">
      <c r="B25" s="603" t="inlineStr">
        <is>
          <t>Functie 2</t>
        </is>
      </c>
      <c r="L25" s="604" t="inlineStr">
        <is>
          <t>Fietsen met verlichting</t>
        </is>
      </c>
      <c r="M25" s="605" t="n"/>
      <c r="N25" s="606" t="n"/>
    </row>
    <row r="26">
      <c r="B26" s="603" t="inlineStr">
        <is>
          <t>Functie 3</t>
        </is>
      </c>
      <c r="L26" s="604" t="n"/>
      <c r="M26" s="605" t="n"/>
      <c r="N26" s="606" t="n"/>
    </row>
    <row r="27">
      <c r="B27" s="603" t="inlineStr">
        <is>
          <t>Functie 4</t>
        </is>
      </c>
      <c r="L27" s="604" t="n"/>
      <c r="M27" s="605" t="n"/>
      <c r="N27" s="606" t="n"/>
    </row>
    <row r="28">
      <c r="B28" s="603" t="inlineStr">
        <is>
          <t>Functie 5</t>
        </is>
      </c>
      <c r="L28" s="604" t="n"/>
      <c r="M28" s="605" t="n"/>
      <c r="N28" s="606" t="n"/>
    </row>
    <row r="29">
      <c r="B29" s="603" t="inlineStr">
        <is>
          <t>Functie 6</t>
        </is>
      </c>
      <c r="L29" s="604" t="n"/>
      <c r="M29" s="605" t="n"/>
      <c r="N29" s="606" t="n"/>
    </row>
    <row r="30">
      <c r="B30" s="603" t="inlineStr">
        <is>
          <t>Functie 7</t>
        </is>
      </c>
      <c r="L30" s="604" t="n"/>
      <c r="M30" s="605" t="n"/>
      <c r="N30" s="606" t="n"/>
    </row>
    <row r="31">
      <c r="B31" s="603" t="inlineStr">
        <is>
          <t>Functie 8</t>
        </is>
      </c>
      <c r="L31" s="604" t="n"/>
      <c r="M31" s="605" t="n"/>
      <c r="N31" s="606" t="n"/>
    </row>
    <row r="32">
      <c r="B32" s="603" t="inlineStr">
        <is>
          <t>Functie 9</t>
        </is>
      </c>
      <c r="L32" s="604" t="n"/>
      <c r="M32" s="605" t="n"/>
      <c r="N32" s="606" t="n"/>
    </row>
    <row r="33">
      <c r="B33" s="603" t="inlineStr">
        <is>
          <t>Functie 10</t>
        </is>
      </c>
      <c r="L33" s="604" t="n"/>
      <c r="M33" s="605" t="n"/>
      <c r="N33" s="606" t="n"/>
    </row>
    <row r="35">
      <c r="B35" s="504" t="inlineStr">
        <is>
          <t>4. Onderhoudsregels</t>
        </is>
      </c>
      <c r="J35" s="570" t="inlineStr">
        <is>
          <t>(één regel per onderhoudsactie op één component)</t>
        </is>
      </c>
    </row>
    <row r="36" ht="15" customHeight="1" s="189">
      <c r="B36" s="609" t="inlineStr">
        <is>
          <t>Structuur</t>
        </is>
      </c>
      <c r="C36" s="610" t="n"/>
      <c r="D36" s="610" t="n"/>
      <c r="E36" s="610" t="n"/>
      <c r="F36" s="610" t="n"/>
      <c r="G36" s="610" t="n"/>
      <c r="H36" s="610" t="n"/>
      <c r="I36" s="610" t="n"/>
      <c r="J36" s="610" t="n"/>
      <c r="K36" s="610" t="n"/>
      <c r="L36" s="611" t="inlineStr">
        <is>
          <t>Component</t>
        </is>
      </c>
      <c r="M36" s="612" t="n"/>
      <c r="N36" s="612" t="n"/>
      <c r="O36" s="613" t="inlineStr">
        <is>
          <t>Onderhoudsactie</t>
        </is>
      </c>
      <c r="P36" s="614" t="n"/>
      <c r="Q36" s="614" t="n"/>
      <c r="R36" s="614" t="n"/>
      <c r="S36" s="615" t="inlineStr">
        <is>
          <t>Frequentie en uitvoering</t>
        </is>
      </c>
      <c r="T36" s="616" t="n"/>
      <c r="U36" s="616" t="n"/>
      <c r="V36" s="616" t="n"/>
      <c r="W36" s="616" t="n"/>
      <c r="X36" s="617" t="inlineStr">
        <is>
          <t>Uren per keer</t>
        </is>
      </c>
      <c r="Y36" s="618" t="n"/>
      <c r="Z36" s="618" t="n"/>
      <c r="AA36" s="618" t="n"/>
      <c r="AB36" s="618" t="n"/>
      <c r="AC36" s="618" t="n"/>
      <c r="AD36" s="619" t="inlineStr">
        <is>
          <t>Kosten per keer</t>
        </is>
      </c>
      <c r="AE36" s="620" t="n"/>
      <c r="AF36" s="620" t="n"/>
      <c r="AG36" s="621" t="inlineStr">
        <is>
          <t>Storingsgegevens</t>
        </is>
      </c>
      <c r="AH36" s="622" t="n"/>
      <c r="AI36" s="622" t="n"/>
      <c r="AJ36" s="623" t="inlineStr">
        <is>
          <t>Tijden (uur)</t>
        </is>
      </c>
      <c r="AK36" s="624" t="n"/>
      <c r="AL36" s="624" t="n"/>
      <c r="AM36" s="624" t="n"/>
      <c r="AN36" s="624" t="n"/>
      <c r="AO36" s="624" t="n"/>
      <c r="AP36" s="624" t="n"/>
      <c r="AQ36" s="613" t="inlineStr">
        <is>
          <t>Voorraad</t>
        </is>
      </c>
      <c r="AR36" s="614" t="n"/>
      <c r="AS36" s="611" t="inlineStr">
        <is>
          <t>Functies</t>
        </is>
      </c>
      <c r="AT36" s="612" t="n"/>
      <c r="AU36" s="612" t="n"/>
      <c r="AV36" s="612" t="n"/>
      <c r="AW36" s="612" t="n"/>
      <c r="AX36" s="612" t="n"/>
      <c r="AY36" s="612" t="n"/>
      <c r="AZ36" s="612" t="n"/>
      <c r="BA36" s="612" t="n"/>
      <c r="BB36" s="612" t="n"/>
      <c r="BC36" s="615" t="inlineStr">
        <is>
          <t>Mensen per keer</t>
        </is>
      </c>
      <c r="BD36" s="616" t="n"/>
      <c r="BE36" s="625" t="inlineStr">
        <is>
          <t>Overig</t>
        </is>
      </c>
    </row>
    <row r="37" ht="34" customHeight="1" s="189">
      <c r="A37" s="626" t="inlineStr">
        <is>
          <t>Nr</t>
        </is>
      </c>
      <c r="B37" s="626" t="inlineStr">
        <is>
          <t>N1</t>
        </is>
      </c>
      <c r="C37" s="626" t="inlineStr">
        <is>
          <t>N2</t>
        </is>
      </c>
      <c r="D37" s="626" t="inlineStr">
        <is>
          <t>N3</t>
        </is>
      </c>
      <c r="E37" s="626" t="inlineStr">
        <is>
          <t>N4</t>
        </is>
      </c>
      <c r="F37" s="626" t="inlineStr">
        <is>
          <t>N5</t>
        </is>
      </c>
      <c r="G37" s="626" t="inlineStr">
        <is>
          <t>N6</t>
        </is>
      </c>
      <c r="H37" s="626" t="inlineStr">
        <is>
          <t>N7</t>
        </is>
      </c>
      <c r="I37" s="626" t="inlineStr">
        <is>
          <t>N8</t>
        </is>
      </c>
      <c r="J37" s="626" t="inlineStr">
        <is>
          <t>N9</t>
        </is>
      </c>
      <c r="K37" s="626" t="inlineStr">
        <is>
          <t>N10</t>
        </is>
      </c>
      <c r="L37" s="626" t="inlineStr">
        <is>
          <t>Component</t>
        </is>
      </c>
      <c r="M37" s="626" t="inlineStr">
        <is>
          <t>Aantal</t>
        </is>
      </c>
      <c r="N37" s="626" t="inlineStr">
        <is>
          <t>Redun-dantie</t>
        </is>
      </c>
      <c r="O37" s="626" t="inlineStr">
        <is>
          <t>Soort onderhoud</t>
        </is>
      </c>
      <c r="P37" s="626" t="inlineStr">
        <is>
          <t>Uitbe-steden</t>
        </is>
      </c>
      <c r="Q37" s="626" t="inlineStr">
        <is>
          <t>Omschrijving</t>
        </is>
      </c>
      <c r="R37" s="626" t="inlineStr">
        <is>
          <t>Taak-ID</t>
        </is>
      </c>
      <c r="S37" s="626" t="inlineStr">
        <is>
          <t>Frequentie</t>
        </is>
      </c>
      <c r="T37" s="626" t="inlineStr">
        <is>
          <t>Een-heid</t>
        </is>
      </c>
      <c r="U37" s="626" t="inlineStr">
        <is>
          <t>Voor inzet</t>
        </is>
      </c>
      <c r="V37" s="626" t="inlineStr">
        <is>
          <t>Tijdens inzet</t>
        </is>
      </c>
      <c r="W37" s="626" t="inlineStr">
        <is>
          <t>Alleen GO</t>
        </is>
      </c>
      <c r="X37" s="626" t="inlineStr">
        <is>
          <t>Verhuur-der</t>
        </is>
      </c>
      <c r="Y37" s="626" t="inlineStr">
        <is>
          <t>Huurder</t>
        </is>
      </c>
      <c r="Z37" s="626" t="inlineStr">
        <is>
          <t>Monteur</t>
        </is>
      </c>
      <c r="AA37" s="626" t="inlineStr">
        <is>
          <t>Partij 4</t>
        </is>
      </c>
      <c r="AB37" s="626" t="inlineStr">
        <is>
          <t>Partij 5</t>
        </is>
      </c>
      <c r="AC37" s="626" t="inlineStr">
        <is>
          <t>Partij 6</t>
        </is>
      </c>
      <c r="AD37" s="626" t="inlineStr">
        <is>
          <t>Vaste kosten</t>
        </is>
      </c>
      <c r="AE37" s="626" t="inlineStr">
        <is>
          <t>Reserve-delen</t>
        </is>
      </c>
      <c r="AF37" s="626" t="inlineStr">
        <is>
          <t>Gevolg-kosten</t>
        </is>
      </c>
      <c r="AG37" s="626" t="inlineStr">
        <is>
          <t>Storings-frequentie</t>
        </is>
      </c>
      <c r="AH37" s="626" t="inlineStr">
        <is>
          <t>% gebruik inzet</t>
        </is>
      </c>
      <c r="AI37" s="626" t="inlineStr">
        <is>
          <t>% gebruik overig</t>
        </is>
      </c>
      <c r="AJ37" s="626" t="inlineStr">
        <is>
          <t>Doorloop PO</t>
        </is>
      </c>
      <c r="AK37" s="626" t="inlineStr">
        <is>
          <t>Tijd TAO</t>
        </is>
      </c>
      <c r="AL37" s="626" t="inlineStr">
        <is>
          <t>Zoektijd</t>
        </is>
      </c>
      <c r="AM37" s="626" t="inlineStr">
        <is>
          <t>Reparatie-tijd</t>
        </is>
      </c>
      <c r="AN37" s="626" t="inlineStr">
        <is>
          <t>Wacht tijdens inzet</t>
        </is>
      </c>
      <c r="AO37" s="626" t="inlineStr">
        <is>
          <t>Bestel-tijd</t>
        </is>
      </c>
      <c r="AP37" s="626" t="inlineStr">
        <is>
          <t>Wacht locatie</t>
        </is>
      </c>
      <c r="AQ37" s="626" t="inlineStr">
        <is>
          <t>Delen mee</t>
        </is>
      </c>
      <c r="AR37" s="626" t="inlineStr">
        <is>
          <t>Voorraad start</t>
        </is>
      </c>
      <c r="AS37" s="626" t="inlineStr">
        <is>
          <t>F1</t>
        </is>
      </c>
      <c r="AT37" s="626" t="inlineStr">
        <is>
          <t>F2</t>
        </is>
      </c>
      <c r="AU37" s="626" t="inlineStr">
        <is>
          <t>F3</t>
        </is>
      </c>
      <c r="AV37" s="626" t="inlineStr">
        <is>
          <t>F4</t>
        </is>
      </c>
      <c r="AW37" s="626" t="inlineStr">
        <is>
          <t>F5</t>
        </is>
      </c>
      <c r="AX37" s="626" t="inlineStr">
        <is>
          <t>F6</t>
        </is>
      </c>
      <c r="AY37" s="626" t="inlineStr">
        <is>
          <t>F7</t>
        </is>
      </c>
      <c r="AZ37" s="626" t="inlineStr">
        <is>
          <t>F8</t>
        </is>
      </c>
      <c r="BA37" s="626" t="inlineStr">
        <is>
          <t>F9</t>
        </is>
      </c>
      <c r="BB37" s="626" t="inlineStr">
        <is>
          <t>F10</t>
        </is>
      </c>
      <c r="BC37" s="626" t="inlineStr">
        <is>
          <t>Mensen eigen</t>
        </is>
      </c>
      <c r="BD37" s="626" t="inlineStr">
        <is>
          <t>Mensen bedrijf</t>
        </is>
      </c>
      <c r="BE37" s="626" t="inlineStr">
        <is>
          <t>Opmerking</t>
        </is>
      </c>
      <c r="BG37" s="505" t="inlineStr">
        <is>
          <t>hulpkolommen (niet invullen)</t>
        </is>
      </c>
    </row>
    <row r="38" ht="15" customHeight="1" s="189">
      <c r="A38" s="627" t="n">
        <v>1</v>
      </c>
      <c r="B38" s="628" t="n">
        <v>1</v>
      </c>
      <c r="C38" s="628" t="n"/>
      <c r="D38" s="628" t="n"/>
      <c r="E38" s="628" t="n"/>
      <c r="F38" s="628" t="n"/>
      <c r="G38" s="628" t="n"/>
      <c r="H38" s="628" t="n"/>
      <c r="I38" s="628" t="n"/>
      <c r="J38" s="628" t="n"/>
      <c r="K38" s="628" t="n"/>
      <c r="L38" s="628" t="inlineStr">
        <is>
          <t>Fiets</t>
        </is>
      </c>
      <c r="M38" s="629" t="n">
        <v>1</v>
      </c>
      <c r="N38" s="628" t="n"/>
      <c r="O38" s="628" t="inlineStr">
        <is>
          <t>PO - Inspectie (visueel)</t>
        </is>
      </c>
      <c r="P38" s="628" t="n"/>
      <c r="Q38" s="628" t="inlineStr">
        <is>
          <t>Algehele controle van de toestand</t>
        </is>
      </c>
      <c r="R38" s="628" t="n"/>
      <c r="S38" s="630" t="n">
        <v>1</v>
      </c>
      <c r="T38" s="628" t="inlineStr">
        <is>
          <t>w</t>
        </is>
      </c>
      <c r="U38" s="628" t="inlineStr">
        <is>
          <t>j</t>
        </is>
      </c>
      <c r="V38" s="628" t="n"/>
      <c r="W38" s="628" t="n"/>
      <c r="X38" s="631" t="n">
        <v>0.1</v>
      </c>
      <c r="Y38" s="631" t="n"/>
      <c r="Z38" s="631" t="n"/>
      <c r="AA38" s="631" t="n"/>
      <c r="AB38" s="631" t="n"/>
      <c r="AC38" s="631" t="n"/>
      <c r="AD38" s="632" t="n"/>
      <c r="AE38" s="632" t="n"/>
      <c r="AF38" s="632" t="n"/>
      <c r="AG38" s="633" t="n"/>
      <c r="AH38" s="634" t="n"/>
      <c r="AI38" s="634" t="n"/>
      <c r="AJ38" s="631" t="n"/>
      <c r="AK38" s="631" t="n"/>
      <c r="AL38" s="631" t="n"/>
      <c r="AM38" s="631" t="n"/>
      <c r="AN38" s="631" t="n"/>
      <c r="AO38" s="631" t="n"/>
      <c r="AP38" s="631" t="n"/>
      <c r="AQ38" s="629" t="n"/>
      <c r="AR38" s="629" t="n"/>
      <c r="AS38" s="628" t="inlineStr">
        <is>
          <t>x</t>
        </is>
      </c>
      <c r="AT38" s="628" t="n"/>
      <c r="AU38" s="628" t="n"/>
      <c r="AV38" s="628" t="n"/>
      <c r="AW38" s="628" t="n"/>
      <c r="AX38" s="628" t="n"/>
      <c r="AY38" s="628" t="n"/>
      <c r="AZ38" s="628" t="n"/>
      <c r="BA38" s="628" t="n"/>
      <c r="BB38" s="628" t="n"/>
      <c r="BC38" s="629" t="n">
        <v>1</v>
      </c>
      <c r="BD38" s="629" t="n"/>
      <c r="BE38" s="628" t="n"/>
      <c r="BG38" s="505">
        <f>IF(LEFT($O38,3)="PO ",COUNTIF($O$38:$O38,"PO *"),"")</f>
        <v/>
      </c>
      <c r="BH38" s="505">
        <f>IF(LEFT($O38,4)="TAO ",COUNTIF($O$38:$O38,"TAO *"),"")</f>
        <v/>
      </c>
      <c r="BI38" s="505">
        <f>IF(LEFT($O38,3)="CO ",COUNTIF($O$38:$O38,"CO *"),"")</f>
        <v/>
      </c>
      <c r="BK38" s="505">
        <f>IF($O38="PO - Inspectie (visueel)","x","")</f>
        <v/>
      </c>
      <c r="BL38" s="505">
        <f>IF($O38="PO - Inspectie (meten)","x","")</f>
        <v/>
      </c>
      <c r="BM38" s="505">
        <f>IF($O38="PO - Preservering","x","")</f>
        <v/>
      </c>
      <c r="BN38" s="505">
        <f>IF($O38="PO - Revisie","x","")</f>
        <v/>
      </c>
      <c r="BO38" s="505">
        <f>IF($O38="PO - Vervanging","x","")</f>
        <v/>
      </c>
      <c r="BP38" s="505">
        <f>IF($O38="PO - Testen","x","")</f>
        <v/>
      </c>
      <c r="BQ38" s="505">
        <f>IF($O38="TAO - Revisie","x","")</f>
        <v/>
      </c>
      <c r="BR38" s="505">
        <f>IF($O38="TAO - Vervanging","x","")</f>
        <v/>
      </c>
      <c r="BS38" s="505">
        <f>IF($O38="CO - Reparatie","x","")</f>
        <v/>
      </c>
      <c r="BT38" s="505">
        <f>IF($O38="CO - Vervanging","x","")</f>
        <v/>
      </c>
      <c r="BV38" s="505">
        <f>IF(N($S38)=0,"",1/$S38)</f>
        <v/>
      </c>
    </row>
    <row r="39" ht="15" customHeight="1" s="189">
      <c r="A39" s="627" t="n">
        <v>2</v>
      </c>
      <c r="B39" s="628" t="n">
        <v>1</v>
      </c>
      <c r="C39" s="628" t="n"/>
      <c r="D39" s="628" t="n"/>
      <c r="E39" s="628" t="n"/>
      <c r="F39" s="628" t="n"/>
      <c r="G39" s="628" t="n"/>
      <c r="H39" s="628" t="n"/>
      <c r="I39" s="628" t="n"/>
      <c r="J39" s="628" t="n"/>
      <c r="K39" s="628" t="n"/>
      <c r="L39" s="628" t="inlineStr">
        <is>
          <t>Fiets</t>
        </is>
      </c>
      <c r="M39" s="629" t="n">
        <v>1</v>
      </c>
      <c r="N39" s="628" t="n"/>
      <c r="O39" s="628" t="inlineStr">
        <is>
          <t>TAO - Vervanging</t>
        </is>
      </c>
      <c r="P39" s="628" t="n"/>
      <c r="Q39" s="628" t="inlineStr">
        <is>
          <t>Afgeschreven</t>
        </is>
      </c>
      <c r="R39" s="628" t="n"/>
      <c r="S39" s="630" t="n">
        <v>0.1</v>
      </c>
      <c r="T39" s="628" t="inlineStr">
        <is>
          <t>j</t>
        </is>
      </c>
      <c r="U39" s="628" t="n"/>
      <c r="V39" s="628" t="n"/>
      <c r="W39" s="628" t="inlineStr">
        <is>
          <t>j</t>
        </is>
      </c>
      <c r="X39" s="631" t="n">
        <v>4</v>
      </c>
      <c r="Y39" s="631" t="n"/>
      <c r="Z39" s="631" t="n"/>
      <c r="AA39" s="631" t="n"/>
      <c r="AB39" s="631" t="n"/>
      <c r="AC39" s="631" t="n"/>
      <c r="AD39" s="632" t="n">
        <v>2000</v>
      </c>
      <c r="AE39" s="632" t="n"/>
      <c r="AF39" s="632" t="n"/>
      <c r="AG39" s="633" t="n"/>
      <c r="AH39" s="634" t="n"/>
      <c r="AI39" s="634" t="n"/>
      <c r="AJ39" s="631" t="n"/>
      <c r="AK39" s="631" t="n"/>
      <c r="AL39" s="631" t="n"/>
      <c r="AM39" s="631" t="n"/>
      <c r="AN39" s="631" t="n"/>
      <c r="AO39" s="631" t="n"/>
      <c r="AP39" s="631" t="n"/>
      <c r="AQ39" s="629" t="n"/>
      <c r="AR39" s="629" t="n"/>
      <c r="AS39" s="628" t="inlineStr">
        <is>
          <t>x</t>
        </is>
      </c>
      <c r="AT39" s="628" t="n"/>
      <c r="AU39" s="628" t="n"/>
      <c r="AV39" s="628" t="n"/>
      <c r="AW39" s="628" t="n"/>
      <c r="AX39" s="628" t="n"/>
      <c r="AY39" s="628" t="n"/>
      <c r="AZ39" s="628" t="n"/>
      <c r="BA39" s="628" t="n"/>
      <c r="BB39" s="628" t="n"/>
      <c r="BC39" s="629" t="n"/>
      <c r="BD39" s="629" t="n"/>
      <c r="BE39" s="628" t="n"/>
      <c r="BG39" s="505">
        <f>IF(LEFT($O39,3)="PO ",COUNTIF($O$38:$O39,"PO *"),"")</f>
        <v/>
      </c>
      <c r="BH39" s="505">
        <f>IF(LEFT($O39,4)="TAO ",COUNTIF($O$38:$O39,"TAO *"),"")</f>
        <v/>
      </c>
      <c r="BI39" s="505">
        <f>IF(LEFT($O39,3)="CO ",COUNTIF($O$38:$O39,"CO *"),"")</f>
        <v/>
      </c>
      <c r="BK39" s="505">
        <f>IF($O39="PO - Inspectie (visueel)","x","")</f>
        <v/>
      </c>
      <c r="BL39" s="505">
        <f>IF($O39="PO - Inspectie (meten)","x","")</f>
        <v/>
      </c>
      <c r="BM39" s="505">
        <f>IF($O39="PO - Preservering","x","")</f>
        <v/>
      </c>
      <c r="BN39" s="505">
        <f>IF($O39="PO - Revisie","x","")</f>
        <v/>
      </c>
      <c r="BO39" s="505">
        <f>IF($O39="PO - Vervanging","x","")</f>
        <v/>
      </c>
      <c r="BP39" s="505">
        <f>IF($O39="PO - Testen","x","")</f>
        <v/>
      </c>
      <c r="BQ39" s="505">
        <f>IF($O39="TAO - Revisie","x","")</f>
        <v/>
      </c>
      <c r="BR39" s="505">
        <f>IF($O39="TAO - Vervanging","x","")</f>
        <v/>
      </c>
      <c r="BS39" s="505">
        <f>IF($O39="CO - Reparatie","x","")</f>
        <v/>
      </c>
      <c r="BT39" s="505">
        <f>IF($O39="CO - Vervanging","x","")</f>
        <v/>
      </c>
      <c r="BV39" s="505">
        <f>IF(N($S39)=0,"",1/$S39)</f>
        <v/>
      </c>
    </row>
    <row r="40" ht="15" customHeight="1" s="189">
      <c r="A40" s="627" t="n">
        <v>3</v>
      </c>
      <c r="B40" s="628" t="n">
        <v>1</v>
      </c>
      <c r="C40" s="628" t="n"/>
      <c r="D40" s="628" t="n"/>
      <c r="E40" s="628" t="n"/>
      <c r="F40" s="628" t="n"/>
      <c r="G40" s="628" t="n"/>
      <c r="H40" s="628" t="n"/>
      <c r="I40" s="628" t="n"/>
      <c r="J40" s="628" t="n"/>
      <c r="K40" s="628" t="n"/>
      <c r="L40" s="628" t="inlineStr">
        <is>
          <t>Fiets</t>
        </is>
      </c>
      <c r="M40" s="629" t="n">
        <v>1</v>
      </c>
      <c r="N40" s="628" t="n"/>
      <c r="O40" s="628" t="n"/>
      <c r="P40" s="628" t="n"/>
      <c r="Q40" s="628" t="n"/>
      <c r="R40" s="628" t="n"/>
      <c r="S40" s="630" t="n"/>
      <c r="T40" s="628" t="n"/>
      <c r="U40" s="628" t="n"/>
      <c r="V40" s="628" t="n"/>
      <c r="W40" s="628" t="n"/>
      <c r="X40" s="631" t="n"/>
      <c r="Y40" s="631" t="n"/>
      <c r="Z40" s="631" t="n"/>
      <c r="AA40" s="631" t="n"/>
      <c r="AB40" s="631" t="n"/>
      <c r="AC40" s="631" t="n"/>
      <c r="AD40" s="632" t="n"/>
      <c r="AE40" s="632" t="n"/>
      <c r="AF40" s="632" t="n"/>
      <c r="AG40" s="633" t="n"/>
      <c r="AH40" s="634" t="n"/>
      <c r="AI40" s="634" t="n"/>
      <c r="AJ40" s="631" t="n"/>
      <c r="AK40" s="631" t="n"/>
      <c r="AL40" s="631" t="n"/>
      <c r="AM40" s="631" t="n"/>
      <c r="AN40" s="631" t="n"/>
      <c r="AO40" s="631" t="n"/>
      <c r="AP40" s="631" t="n"/>
      <c r="AQ40" s="629" t="n"/>
      <c r="AR40" s="629" t="n"/>
      <c r="AS40" s="628" t="inlineStr">
        <is>
          <t>x</t>
        </is>
      </c>
      <c r="AT40" s="628" t="n"/>
      <c r="AU40" s="628" t="n"/>
      <c r="AV40" s="628" t="n"/>
      <c r="AW40" s="628" t="n"/>
      <c r="AX40" s="628" t="n"/>
      <c r="AY40" s="628" t="n"/>
      <c r="AZ40" s="628" t="n"/>
      <c r="BA40" s="628" t="n"/>
      <c r="BB40" s="628" t="n"/>
      <c r="BC40" s="629" t="n"/>
      <c r="BD40" s="629" t="n"/>
      <c r="BE40" s="628" t="n"/>
      <c r="BG40" s="505">
        <f>IF(LEFT($O40,3)="PO ",COUNTIF($O$38:$O40,"PO *"),"")</f>
        <v/>
      </c>
      <c r="BH40" s="505">
        <f>IF(LEFT($O40,4)="TAO ",COUNTIF($O$38:$O40,"TAO *"),"")</f>
        <v/>
      </c>
      <c r="BI40" s="505">
        <f>IF(LEFT($O40,3)="CO ",COUNTIF($O$38:$O40,"CO *"),"")</f>
        <v/>
      </c>
      <c r="BK40" s="505">
        <f>IF($O40="PO - Inspectie (visueel)","x","")</f>
        <v/>
      </c>
      <c r="BL40" s="505">
        <f>IF($O40="PO - Inspectie (meten)","x","")</f>
        <v/>
      </c>
      <c r="BM40" s="505">
        <f>IF($O40="PO - Preservering","x","")</f>
        <v/>
      </c>
      <c r="BN40" s="505">
        <f>IF($O40="PO - Revisie","x","")</f>
        <v/>
      </c>
      <c r="BO40" s="505">
        <f>IF($O40="PO - Vervanging","x","")</f>
        <v/>
      </c>
      <c r="BP40" s="505">
        <f>IF($O40="PO - Testen","x","")</f>
        <v/>
      </c>
      <c r="BQ40" s="505">
        <f>IF($O40="TAO - Revisie","x","")</f>
        <v/>
      </c>
      <c r="BR40" s="505">
        <f>IF($O40="TAO - Vervanging","x","")</f>
        <v/>
      </c>
      <c r="BS40" s="505">
        <f>IF($O40="CO - Reparatie","x","")</f>
        <v/>
      </c>
      <c r="BT40" s="505">
        <f>IF($O40="CO - Vervanging","x","")</f>
        <v/>
      </c>
      <c r="BV40" s="505">
        <f>IF(N($S40)=0,"",1/$S40)</f>
        <v/>
      </c>
    </row>
    <row r="41" ht="15" customHeight="1" s="189">
      <c r="A41" s="627" t="n">
        <v>4</v>
      </c>
      <c r="B41" s="628" t="n">
        <v>1</v>
      </c>
      <c r="C41" s="628" t="n">
        <v>1</v>
      </c>
      <c r="D41" s="628" t="n"/>
      <c r="E41" s="628" t="n"/>
      <c r="F41" s="628" t="n"/>
      <c r="G41" s="628" t="n"/>
      <c r="H41" s="628" t="n"/>
      <c r="I41" s="628" t="n"/>
      <c r="J41" s="628" t="n"/>
      <c r="K41" s="628" t="n"/>
      <c r="L41" s="628" t="inlineStr">
        <is>
          <t>Aandrijving</t>
        </is>
      </c>
      <c r="M41" s="629" t="n">
        <v>1</v>
      </c>
      <c r="N41" s="628" t="n"/>
      <c r="O41" s="628" t="n"/>
      <c r="P41" s="628" t="n"/>
      <c r="Q41" s="628" t="n"/>
      <c r="R41" s="628" t="n"/>
      <c r="S41" s="630" t="n"/>
      <c r="T41" s="628" t="n"/>
      <c r="U41" s="628" t="n"/>
      <c r="V41" s="628" t="n"/>
      <c r="W41" s="628" t="n"/>
      <c r="X41" s="631" t="n"/>
      <c r="Y41" s="631" t="n"/>
      <c r="Z41" s="631" t="n"/>
      <c r="AA41" s="631" t="n"/>
      <c r="AB41" s="631" t="n"/>
      <c r="AC41" s="631" t="n"/>
      <c r="AD41" s="632" t="n"/>
      <c r="AE41" s="632" t="n"/>
      <c r="AF41" s="632" t="n"/>
      <c r="AG41" s="633" t="n"/>
      <c r="AH41" s="634" t="n"/>
      <c r="AI41" s="634" t="n"/>
      <c r="AJ41" s="631" t="n"/>
      <c r="AK41" s="631" t="n"/>
      <c r="AL41" s="631" t="n"/>
      <c r="AM41" s="631" t="n"/>
      <c r="AN41" s="631" t="n"/>
      <c r="AO41" s="631" t="n"/>
      <c r="AP41" s="631" t="n"/>
      <c r="AQ41" s="629" t="n"/>
      <c r="AR41" s="629" t="n"/>
      <c r="AS41" s="628" t="inlineStr">
        <is>
          <t>x</t>
        </is>
      </c>
      <c r="AT41" s="628" t="n"/>
      <c r="AU41" s="628" t="n"/>
      <c r="AV41" s="628" t="n"/>
      <c r="AW41" s="628" t="n"/>
      <c r="AX41" s="628" t="n"/>
      <c r="AY41" s="628" t="n"/>
      <c r="AZ41" s="628" t="n"/>
      <c r="BA41" s="628" t="n"/>
      <c r="BB41" s="628" t="n"/>
      <c r="BC41" s="629" t="n"/>
      <c r="BD41" s="629" t="n"/>
      <c r="BE41" s="628" t="n"/>
      <c r="BG41" s="505">
        <f>IF(LEFT($O41,3)="PO ",COUNTIF($O$38:$O41,"PO *"),"")</f>
        <v/>
      </c>
      <c r="BH41" s="505">
        <f>IF(LEFT($O41,4)="TAO ",COUNTIF($O$38:$O41,"TAO *"),"")</f>
        <v/>
      </c>
      <c r="BI41" s="505">
        <f>IF(LEFT($O41,3)="CO ",COUNTIF($O$38:$O41,"CO *"),"")</f>
        <v/>
      </c>
      <c r="BK41" s="505">
        <f>IF($O41="PO - Inspectie (visueel)","x","")</f>
        <v/>
      </c>
      <c r="BL41" s="505">
        <f>IF($O41="PO - Inspectie (meten)","x","")</f>
        <v/>
      </c>
      <c r="BM41" s="505">
        <f>IF($O41="PO - Preservering","x","")</f>
        <v/>
      </c>
      <c r="BN41" s="505">
        <f>IF($O41="PO - Revisie","x","")</f>
        <v/>
      </c>
      <c r="BO41" s="505">
        <f>IF($O41="PO - Vervanging","x","")</f>
        <v/>
      </c>
      <c r="BP41" s="505">
        <f>IF($O41="PO - Testen","x","")</f>
        <v/>
      </c>
      <c r="BQ41" s="505">
        <f>IF($O41="TAO - Revisie","x","")</f>
        <v/>
      </c>
      <c r="BR41" s="505">
        <f>IF($O41="TAO - Vervanging","x","")</f>
        <v/>
      </c>
      <c r="BS41" s="505">
        <f>IF($O41="CO - Reparatie","x","")</f>
        <v/>
      </c>
      <c r="BT41" s="505">
        <f>IF($O41="CO - Vervanging","x","")</f>
        <v/>
      </c>
      <c r="BV41" s="505">
        <f>IF(N($S41)=0,"",1/$S41)</f>
        <v/>
      </c>
    </row>
    <row r="42" ht="15" customHeight="1" s="189">
      <c r="A42" s="627" t="n">
        <v>5</v>
      </c>
      <c r="B42" s="628" t="n">
        <v>1</v>
      </c>
      <c r="C42" s="628" t="n">
        <v>1</v>
      </c>
      <c r="D42" s="628" t="n"/>
      <c r="E42" s="628" t="n"/>
      <c r="F42" s="628" t="n"/>
      <c r="G42" s="628" t="n"/>
      <c r="H42" s="628" t="n"/>
      <c r="I42" s="628" t="n"/>
      <c r="J42" s="628" t="n"/>
      <c r="K42" s="628" t="n"/>
      <c r="L42" s="628" t="inlineStr">
        <is>
          <t>Aandrijving</t>
        </is>
      </c>
      <c r="M42" s="629" t="n">
        <v>1</v>
      </c>
      <c r="N42" s="628" t="n"/>
      <c r="O42" s="628" t="n"/>
      <c r="P42" s="628" t="n"/>
      <c r="Q42" s="628" t="n"/>
      <c r="R42" s="628" t="n"/>
      <c r="S42" s="630" t="n"/>
      <c r="T42" s="628" t="n"/>
      <c r="U42" s="628" t="n"/>
      <c r="V42" s="628" t="n"/>
      <c r="W42" s="628" t="n"/>
      <c r="X42" s="631" t="n"/>
      <c r="Y42" s="631" t="n"/>
      <c r="Z42" s="631" t="n"/>
      <c r="AA42" s="631" t="n"/>
      <c r="AB42" s="631" t="n"/>
      <c r="AC42" s="631" t="n"/>
      <c r="AD42" s="632" t="n"/>
      <c r="AE42" s="632" t="n"/>
      <c r="AF42" s="632" t="n"/>
      <c r="AG42" s="633" t="n"/>
      <c r="AH42" s="634" t="n"/>
      <c r="AI42" s="634" t="n"/>
      <c r="AJ42" s="631" t="n"/>
      <c r="AK42" s="631" t="n"/>
      <c r="AL42" s="631" t="n"/>
      <c r="AM42" s="631" t="n"/>
      <c r="AN42" s="631" t="n"/>
      <c r="AO42" s="631" t="n"/>
      <c r="AP42" s="631" t="n"/>
      <c r="AQ42" s="629" t="n"/>
      <c r="AR42" s="629" t="n"/>
      <c r="AS42" s="628" t="inlineStr">
        <is>
          <t>x</t>
        </is>
      </c>
      <c r="AT42" s="628" t="n"/>
      <c r="AU42" s="628" t="n"/>
      <c r="AV42" s="628" t="n"/>
      <c r="AW42" s="628" t="n"/>
      <c r="AX42" s="628" t="n"/>
      <c r="AY42" s="628" t="n"/>
      <c r="AZ42" s="628" t="n"/>
      <c r="BA42" s="628" t="n"/>
      <c r="BB42" s="628" t="n"/>
      <c r="BC42" s="629" t="n"/>
      <c r="BD42" s="629" t="n"/>
      <c r="BE42" s="628" t="n"/>
      <c r="BG42" s="505">
        <f>IF(LEFT($O42,3)="PO ",COUNTIF($O$38:$O42,"PO *"),"")</f>
        <v/>
      </c>
      <c r="BH42" s="505">
        <f>IF(LEFT($O42,4)="TAO ",COUNTIF($O$38:$O42,"TAO *"),"")</f>
        <v/>
      </c>
      <c r="BI42" s="505">
        <f>IF(LEFT($O42,3)="CO ",COUNTIF($O$38:$O42,"CO *"),"")</f>
        <v/>
      </c>
      <c r="BK42" s="505">
        <f>IF($O42="PO - Inspectie (visueel)","x","")</f>
        <v/>
      </c>
      <c r="BL42" s="505">
        <f>IF($O42="PO - Inspectie (meten)","x","")</f>
        <v/>
      </c>
      <c r="BM42" s="505">
        <f>IF($O42="PO - Preservering","x","")</f>
        <v/>
      </c>
      <c r="BN42" s="505">
        <f>IF($O42="PO - Revisie","x","")</f>
        <v/>
      </c>
      <c r="BO42" s="505">
        <f>IF($O42="PO - Vervanging","x","")</f>
        <v/>
      </c>
      <c r="BP42" s="505">
        <f>IF($O42="PO - Testen","x","")</f>
        <v/>
      </c>
      <c r="BQ42" s="505">
        <f>IF($O42="TAO - Revisie","x","")</f>
        <v/>
      </c>
      <c r="BR42" s="505">
        <f>IF($O42="TAO - Vervanging","x","")</f>
        <v/>
      </c>
      <c r="BS42" s="505">
        <f>IF($O42="CO - Reparatie","x","")</f>
        <v/>
      </c>
      <c r="BT42" s="505">
        <f>IF($O42="CO - Vervanging","x","")</f>
        <v/>
      </c>
      <c r="BV42" s="505">
        <f>IF(N($S42)=0,"",1/$S42)</f>
        <v/>
      </c>
    </row>
    <row r="43" ht="15" customHeight="1" s="189">
      <c r="A43" s="627" t="n">
        <v>6</v>
      </c>
      <c r="B43" s="628" t="n">
        <v>1</v>
      </c>
      <c r="C43" s="628" t="n">
        <v>1</v>
      </c>
      <c r="D43" s="628" t="n"/>
      <c r="E43" s="628" t="n"/>
      <c r="F43" s="628" t="n"/>
      <c r="G43" s="628" t="n"/>
      <c r="H43" s="628" t="n"/>
      <c r="I43" s="628" t="n"/>
      <c r="J43" s="628" t="n"/>
      <c r="K43" s="628" t="n"/>
      <c r="L43" s="628" t="inlineStr">
        <is>
          <t>Aandrijving</t>
        </is>
      </c>
      <c r="M43" s="629" t="n">
        <v>1</v>
      </c>
      <c r="N43" s="628" t="n"/>
      <c r="O43" s="628" t="n"/>
      <c r="P43" s="628" t="n"/>
      <c r="Q43" s="628" t="n"/>
      <c r="R43" s="628" t="n"/>
      <c r="S43" s="630" t="n"/>
      <c r="T43" s="628" t="n"/>
      <c r="U43" s="628" t="n"/>
      <c r="V43" s="628" t="n"/>
      <c r="W43" s="628" t="n"/>
      <c r="X43" s="631" t="n"/>
      <c r="Y43" s="631" t="n"/>
      <c r="Z43" s="631" t="n"/>
      <c r="AA43" s="631" t="n"/>
      <c r="AB43" s="631" t="n"/>
      <c r="AC43" s="631" t="n"/>
      <c r="AD43" s="632" t="n"/>
      <c r="AE43" s="632" t="n"/>
      <c r="AF43" s="632" t="n"/>
      <c r="AG43" s="633" t="n"/>
      <c r="AH43" s="634" t="n"/>
      <c r="AI43" s="634" t="n"/>
      <c r="AJ43" s="631" t="n"/>
      <c r="AK43" s="631" t="n"/>
      <c r="AL43" s="631" t="n"/>
      <c r="AM43" s="631" t="n"/>
      <c r="AN43" s="631" t="n"/>
      <c r="AO43" s="631" t="n"/>
      <c r="AP43" s="631" t="n"/>
      <c r="AQ43" s="629" t="n"/>
      <c r="AR43" s="629" t="n"/>
      <c r="AS43" s="628" t="inlineStr">
        <is>
          <t>x</t>
        </is>
      </c>
      <c r="AT43" s="628" t="n"/>
      <c r="AU43" s="628" t="n"/>
      <c r="AV43" s="628" t="n"/>
      <c r="AW43" s="628" t="n"/>
      <c r="AX43" s="628" t="n"/>
      <c r="AY43" s="628" t="n"/>
      <c r="AZ43" s="628" t="n"/>
      <c r="BA43" s="628" t="n"/>
      <c r="BB43" s="628" t="n"/>
      <c r="BC43" s="629" t="n"/>
      <c r="BD43" s="629" t="n"/>
      <c r="BE43" s="628" t="n"/>
      <c r="BG43" s="505">
        <f>IF(LEFT($O43,3)="PO ",COUNTIF($O$38:$O43,"PO *"),"")</f>
        <v/>
      </c>
      <c r="BH43" s="505">
        <f>IF(LEFT($O43,4)="TAO ",COUNTIF($O$38:$O43,"TAO *"),"")</f>
        <v/>
      </c>
      <c r="BI43" s="505">
        <f>IF(LEFT($O43,3)="CO ",COUNTIF($O$38:$O43,"CO *"),"")</f>
        <v/>
      </c>
      <c r="BK43" s="505">
        <f>IF($O43="PO - Inspectie (visueel)","x","")</f>
        <v/>
      </c>
      <c r="BL43" s="505">
        <f>IF($O43="PO - Inspectie (meten)","x","")</f>
        <v/>
      </c>
      <c r="BM43" s="505">
        <f>IF($O43="PO - Preservering","x","")</f>
        <v/>
      </c>
      <c r="BN43" s="505">
        <f>IF($O43="PO - Revisie","x","")</f>
        <v/>
      </c>
      <c r="BO43" s="505">
        <f>IF($O43="PO - Vervanging","x","")</f>
        <v/>
      </c>
      <c r="BP43" s="505">
        <f>IF($O43="PO - Testen","x","")</f>
        <v/>
      </c>
      <c r="BQ43" s="505">
        <f>IF($O43="TAO - Revisie","x","")</f>
        <v/>
      </c>
      <c r="BR43" s="505">
        <f>IF($O43="TAO - Vervanging","x","")</f>
        <v/>
      </c>
      <c r="BS43" s="505">
        <f>IF($O43="CO - Reparatie","x","")</f>
        <v/>
      </c>
      <c r="BT43" s="505">
        <f>IF($O43="CO - Vervanging","x","")</f>
        <v/>
      </c>
      <c r="BV43" s="505">
        <f>IF(N($S43)=0,"",1/$S43)</f>
        <v/>
      </c>
    </row>
    <row r="44" ht="15" customHeight="1" s="189">
      <c r="A44" s="627" t="n">
        <v>7</v>
      </c>
      <c r="B44" s="628" t="n">
        <v>1</v>
      </c>
      <c r="C44" s="628" t="n">
        <v>1</v>
      </c>
      <c r="D44" s="628" t="n">
        <v>1</v>
      </c>
      <c r="E44" s="628" t="n"/>
      <c r="F44" s="628" t="n"/>
      <c r="G44" s="628" t="n"/>
      <c r="H44" s="628" t="n"/>
      <c r="I44" s="628" t="n"/>
      <c r="J44" s="628" t="n"/>
      <c r="K44" s="628" t="n"/>
      <c r="L44" s="628" t="inlineStr">
        <is>
          <t>Ketting</t>
        </is>
      </c>
      <c r="M44" s="629" t="n">
        <v>1</v>
      </c>
      <c r="N44" s="628" t="n"/>
      <c r="O44" s="628" t="inlineStr">
        <is>
          <t>PO - Preservering</t>
        </is>
      </c>
      <c r="P44" s="628" t="n"/>
      <c r="Q44" s="628" t="inlineStr">
        <is>
          <t>Smeren</t>
        </is>
      </c>
      <c r="R44" s="628" t="n"/>
      <c r="S44" s="630" t="n">
        <v>0.1666666666666667</v>
      </c>
      <c r="T44" s="628" t="inlineStr">
        <is>
          <t>m</t>
        </is>
      </c>
      <c r="U44" s="628" t="n"/>
      <c r="V44" s="628" t="n"/>
      <c r="W44" s="628" t="inlineStr">
        <is>
          <t>j</t>
        </is>
      </c>
      <c r="X44" s="631" t="n"/>
      <c r="Y44" s="631" t="n"/>
      <c r="Z44" s="631" t="n">
        <v>1</v>
      </c>
      <c r="AA44" s="631" t="n"/>
      <c r="AB44" s="631" t="n"/>
      <c r="AC44" s="631" t="n"/>
      <c r="AD44" s="632" t="n">
        <v>10</v>
      </c>
      <c r="AE44" s="632" t="n"/>
      <c r="AF44" s="632" t="n"/>
      <c r="AG44" s="633" t="n"/>
      <c r="AH44" s="634" t="n"/>
      <c r="AI44" s="634" t="n"/>
      <c r="AJ44" s="631" t="n"/>
      <c r="AK44" s="631" t="n"/>
      <c r="AL44" s="631" t="n"/>
      <c r="AM44" s="631" t="n"/>
      <c r="AN44" s="631" t="n"/>
      <c r="AO44" s="631" t="n"/>
      <c r="AP44" s="631" t="n"/>
      <c r="AQ44" s="629" t="n"/>
      <c r="AR44" s="629" t="n"/>
      <c r="AS44" s="628" t="inlineStr">
        <is>
          <t>x</t>
        </is>
      </c>
      <c r="AT44" s="628" t="n"/>
      <c r="AU44" s="628" t="n"/>
      <c r="AV44" s="628" t="n"/>
      <c r="AW44" s="628" t="n"/>
      <c r="AX44" s="628" t="n"/>
      <c r="AY44" s="628" t="n"/>
      <c r="AZ44" s="628" t="n"/>
      <c r="BA44" s="628" t="n"/>
      <c r="BB44" s="628" t="n"/>
      <c r="BC44" s="629" t="n">
        <v>1</v>
      </c>
      <c r="BD44" s="629" t="n"/>
      <c r="BE44" s="628" t="n"/>
      <c r="BG44" s="505">
        <f>IF(LEFT($O44,3)="PO ",COUNTIF($O$38:$O44,"PO *"),"")</f>
        <v/>
      </c>
      <c r="BH44" s="505">
        <f>IF(LEFT($O44,4)="TAO ",COUNTIF($O$38:$O44,"TAO *"),"")</f>
        <v/>
      </c>
      <c r="BI44" s="505">
        <f>IF(LEFT($O44,3)="CO ",COUNTIF($O$38:$O44,"CO *"),"")</f>
        <v/>
      </c>
      <c r="BK44" s="505">
        <f>IF($O44="PO - Inspectie (visueel)","x","")</f>
        <v/>
      </c>
      <c r="BL44" s="505">
        <f>IF($O44="PO - Inspectie (meten)","x","")</f>
        <v/>
      </c>
      <c r="BM44" s="505">
        <f>IF($O44="PO - Preservering","x","")</f>
        <v/>
      </c>
      <c r="BN44" s="505">
        <f>IF($O44="PO - Revisie","x","")</f>
        <v/>
      </c>
      <c r="BO44" s="505">
        <f>IF($O44="PO - Vervanging","x","")</f>
        <v/>
      </c>
      <c r="BP44" s="505">
        <f>IF($O44="PO - Testen","x","")</f>
        <v/>
      </c>
      <c r="BQ44" s="505">
        <f>IF($O44="TAO - Revisie","x","")</f>
        <v/>
      </c>
      <c r="BR44" s="505">
        <f>IF($O44="TAO - Vervanging","x","")</f>
        <v/>
      </c>
      <c r="BS44" s="505">
        <f>IF($O44="CO - Reparatie","x","")</f>
        <v/>
      </c>
      <c r="BT44" s="505">
        <f>IF($O44="CO - Vervanging","x","")</f>
        <v/>
      </c>
      <c r="BV44" s="505">
        <f>IF(N($S44)=0,"",1/$S44)</f>
        <v/>
      </c>
    </row>
    <row r="45" ht="15" customHeight="1" s="189">
      <c r="A45" s="627" t="n">
        <v>8</v>
      </c>
      <c r="B45" s="628" t="n">
        <v>1</v>
      </c>
      <c r="C45" s="628" t="n">
        <v>1</v>
      </c>
      <c r="D45" s="628" t="n">
        <v>1</v>
      </c>
      <c r="E45" s="628" t="n"/>
      <c r="F45" s="628" t="n"/>
      <c r="G45" s="628" t="n"/>
      <c r="H45" s="628" t="n"/>
      <c r="I45" s="628" t="n"/>
      <c r="J45" s="628" t="n"/>
      <c r="K45" s="628" t="n"/>
      <c r="L45" s="628" t="inlineStr">
        <is>
          <t>Ketting</t>
        </is>
      </c>
      <c r="M45" s="629" t="n">
        <v>1</v>
      </c>
      <c r="N45" s="628" t="n"/>
      <c r="O45" s="628" t="n"/>
      <c r="P45" s="628" t="n"/>
      <c r="Q45" s="628" t="n"/>
      <c r="R45" s="628" t="n"/>
      <c r="S45" s="630" t="n"/>
      <c r="T45" s="628" t="n"/>
      <c r="U45" s="628" t="n"/>
      <c r="V45" s="628" t="n"/>
      <c r="W45" s="628" t="n"/>
      <c r="X45" s="631" t="n"/>
      <c r="Y45" s="631" t="n"/>
      <c r="Z45" s="631" t="n"/>
      <c r="AA45" s="631" t="n"/>
      <c r="AB45" s="631" t="n"/>
      <c r="AC45" s="631" t="n"/>
      <c r="AD45" s="632" t="n"/>
      <c r="AE45" s="632" t="n"/>
      <c r="AF45" s="632" t="n"/>
      <c r="AG45" s="633" t="n"/>
      <c r="AH45" s="634" t="n"/>
      <c r="AI45" s="634" t="n"/>
      <c r="AJ45" s="631" t="n"/>
      <c r="AK45" s="631" t="n"/>
      <c r="AL45" s="631" t="n"/>
      <c r="AM45" s="631" t="n"/>
      <c r="AN45" s="631" t="n"/>
      <c r="AO45" s="631" t="n"/>
      <c r="AP45" s="631" t="n"/>
      <c r="AQ45" s="629" t="n"/>
      <c r="AR45" s="629" t="n"/>
      <c r="AS45" s="628" t="inlineStr">
        <is>
          <t>x</t>
        </is>
      </c>
      <c r="AT45" s="628" t="n"/>
      <c r="AU45" s="628" t="n"/>
      <c r="AV45" s="628" t="n"/>
      <c r="AW45" s="628" t="n"/>
      <c r="AX45" s="628" t="n"/>
      <c r="AY45" s="628" t="n"/>
      <c r="AZ45" s="628" t="n"/>
      <c r="BA45" s="628" t="n"/>
      <c r="BB45" s="628" t="n"/>
      <c r="BC45" s="629" t="n"/>
      <c r="BD45" s="629" t="n"/>
      <c r="BE45" s="628" t="n"/>
      <c r="BG45" s="505">
        <f>IF(LEFT($O45,3)="PO ",COUNTIF($O$38:$O45,"PO *"),"")</f>
        <v/>
      </c>
      <c r="BH45" s="505">
        <f>IF(LEFT($O45,4)="TAO ",COUNTIF($O$38:$O45,"TAO *"),"")</f>
        <v/>
      </c>
      <c r="BI45" s="505">
        <f>IF(LEFT($O45,3)="CO ",COUNTIF($O$38:$O45,"CO *"),"")</f>
        <v/>
      </c>
      <c r="BK45" s="505">
        <f>IF($O45="PO - Inspectie (visueel)","x","")</f>
        <v/>
      </c>
      <c r="BL45" s="505">
        <f>IF($O45="PO - Inspectie (meten)","x","")</f>
        <v/>
      </c>
      <c r="BM45" s="505">
        <f>IF($O45="PO - Preservering","x","")</f>
        <v/>
      </c>
      <c r="BN45" s="505">
        <f>IF($O45="PO - Revisie","x","")</f>
        <v/>
      </c>
      <c r="BO45" s="505">
        <f>IF($O45="PO - Vervanging","x","")</f>
        <v/>
      </c>
      <c r="BP45" s="505">
        <f>IF($O45="PO - Testen","x","")</f>
        <v/>
      </c>
      <c r="BQ45" s="505">
        <f>IF($O45="TAO - Revisie","x","")</f>
        <v/>
      </c>
      <c r="BR45" s="505">
        <f>IF($O45="TAO - Vervanging","x","")</f>
        <v/>
      </c>
      <c r="BS45" s="505">
        <f>IF($O45="CO - Reparatie","x","")</f>
        <v/>
      </c>
      <c r="BT45" s="505">
        <f>IF($O45="CO - Vervanging","x","")</f>
        <v/>
      </c>
      <c r="BV45" s="505">
        <f>IF(N($S45)=0,"",1/$S45)</f>
        <v/>
      </c>
    </row>
    <row r="46" ht="15" customHeight="1" s="189">
      <c r="A46" s="627" t="n">
        <v>9</v>
      </c>
      <c r="B46" s="628" t="n">
        <v>1</v>
      </c>
      <c r="C46" s="628" t="n">
        <v>1</v>
      </c>
      <c r="D46" s="628" t="n">
        <v>1</v>
      </c>
      <c r="E46" s="628" t="n"/>
      <c r="F46" s="628" t="n"/>
      <c r="G46" s="628" t="n"/>
      <c r="H46" s="628" t="n"/>
      <c r="I46" s="628" t="n"/>
      <c r="J46" s="628" t="n"/>
      <c r="K46" s="628" t="n"/>
      <c r="L46" s="628" t="inlineStr">
        <is>
          <t>Ketting</t>
        </is>
      </c>
      <c r="M46" s="629" t="n">
        <v>1</v>
      </c>
      <c r="N46" s="628" t="n"/>
      <c r="O46" s="628" t="inlineStr">
        <is>
          <t>CO - Vervanging</t>
        </is>
      </c>
      <c r="P46" s="628" t="n"/>
      <c r="Q46" s="628" t="inlineStr">
        <is>
          <t>Ketting geknapt</t>
        </is>
      </c>
      <c r="R46" s="628" t="n"/>
      <c r="S46" s="630" t="n">
        <v>0.5</v>
      </c>
      <c r="T46" s="628" t="inlineStr">
        <is>
          <t>j</t>
        </is>
      </c>
      <c r="U46" s="628" t="inlineStr">
        <is>
          <t>j</t>
        </is>
      </c>
      <c r="V46" s="628" t="inlineStr">
        <is>
          <t>j</t>
        </is>
      </c>
      <c r="W46" s="628" t="n"/>
      <c r="X46" s="631" t="n"/>
      <c r="Y46" s="631" t="n">
        <v>4</v>
      </c>
      <c r="Z46" s="631" t="n">
        <v>2</v>
      </c>
      <c r="AA46" s="631" t="n"/>
      <c r="AB46" s="631" t="n"/>
      <c r="AC46" s="631" t="n"/>
      <c r="AD46" s="632" t="n">
        <v>100</v>
      </c>
      <c r="AE46" s="632" t="n"/>
      <c r="AF46" s="632" t="n"/>
      <c r="AG46" s="633" t="n"/>
      <c r="AH46" s="634" t="n"/>
      <c r="AI46" s="634" t="n"/>
      <c r="AJ46" s="631" t="n"/>
      <c r="AK46" s="631" t="n"/>
      <c r="AL46" s="631" t="n">
        <v>2</v>
      </c>
      <c r="AM46" s="631" t="n">
        <v>2</v>
      </c>
      <c r="AN46" s="631" t="n">
        <v>8</v>
      </c>
      <c r="AO46" s="631" t="n">
        <v>24</v>
      </c>
      <c r="AP46" s="631" t="n">
        <v>12</v>
      </c>
      <c r="AQ46" s="629" t="n">
        <v>0</v>
      </c>
      <c r="AR46" s="629" t="n">
        <v>0</v>
      </c>
      <c r="AS46" s="628" t="inlineStr">
        <is>
          <t>x</t>
        </is>
      </c>
      <c r="AT46" s="628" t="n"/>
      <c r="AU46" s="628" t="n"/>
      <c r="AV46" s="628" t="n"/>
      <c r="AW46" s="628" t="n"/>
      <c r="AX46" s="628" t="n"/>
      <c r="AY46" s="628" t="n"/>
      <c r="AZ46" s="628" t="n"/>
      <c r="BA46" s="628" t="n"/>
      <c r="BB46" s="628" t="n"/>
      <c r="BC46" s="629" t="n">
        <v>1</v>
      </c>
      <c r="BD46" s="629" t="n"/>
      <c r="BE46" s="628" t="n"/>
      <c r="BG46" s="505">
        <f>IF(LEFT($O46,3)="PO ",COUNTIF($O$38:$O46,"PO *"),"")</f>
        <v/>
      </c>
      <c r="BH46" s="505">
        <f>IF(LEFT($O46,4)="TAO ",COUNTIF($O$38:$O46,"TAO *"),"")</f>
        <v/>
      </c>
      <c r="BI46" s="505">
        <f>IF(LEFT($O46,3)="CO ",COUNTIF($O$38:$O46,"CO *"),"")</f>
        <v/>
      </c>
      <c r="BK46" s="505">
        <f>IF($O46="PO - Inspectie (visueel)","x","")</f>
        <v/>
      </c>
      <c r="BL46" s="505">
        <f>IF($O46="PO - Inspectie (meten)","x","")</f>
        <v/>
      </c>
      <c r="BM46" s="505">
        <f>IF($O46="PO - Preservering","x","")</f>
        <v/>
      </c>
      <c r="BN46" s="505">
        <f>IF($O46="PO - Revisie","x","")</f>
        <v/>
      </c>
      <c r="BO46" s="505">
        <f>IF($O46="PO - Vervanging","x","")</f>
        <v/>
      </c>
      <c r="BP46" s="505">
        <f>IF($O46="PO - Testen","x","")</f>
        <v/>
      </c>
      <c r="BQ46" s="505">
        <f>IF($O46="TAO - Revisie","x","")</f>
        <v/>
      </c>
      <c r="BR46" s="505">
        <f>IF($O46="TAO - Vervanging","x","")</f>
        <v/>
      </c>
      <c r="BS46" s="505">
        <f>IF($O46="CO - Reparatie","x","")</f>
        <v/>
      </c>
      <c r="BT46" s="505">
        <f>IF($O46="CO - Vervanging","x","")</f>
        <v/>
      </c>
      <c r="BV46" s="505">
        <f>IF(N($S46)=0,"",1/$S46)</f>
        <v/>
      </c>
    </row>
    <row r="47" ht="15" customHeight="1" s="189">
      <c r="A47" s="627" t="n">
        <v>10</v>
      </c>
      <c r="B47" s="628" t="n">
        <v>1</v>
      </c>
      <c r="C47" s="628" t="n">
        <v>2</v>
      </c>
      <c r="D47" s="628" t="n"/>
      <c r="E47" s="628" t="n"/>
      <c r="F47" s="628" t="n"/>
      <c r="G47" s="628" t="n"/>
      <c r="H47" s="628" t="n"/>
      <c r="I47" s="628" t="n"/>
      <c r="J47" s="628" t="n"/>
      <c r="K47" s="628" t="n"/>
      <c r="L47" s="628" t="inlineStr">
        <is>
          <t>Verlichting</t>
        </is>
      </c>
      <c r="M47" s="629" t="n">
        <v>1</v>
      </c>
      <c r="N47" s="628" t="n"/>
      <c r="O47" s="628" t="n"/>
      <c r="P47" s="628" t="n"/>
      <c r="Q47" s="628" t="n"/>
      <c r="R47" s="628" t="n"/>
      <c r="S47" s="630" t="n"/>
      <c r="T47" s="628" t="n"/>
      <c r="U47" s="628" t="n"/>
      <c r="V47" s="628" t="n"/>
      <c r="W47" s="628" t="n"/>
      <c r="X47" s="631" t="n"/>
      <c r="Y47" s="631" t="n"/>
      <c r="Z47" s="631" t="n"/>
      <c r="AA47" s="631" t="n"/>
      <c r="AB47" s="631" t="n"/>
      <c r="AC47" s="631" t="n"/>
      <c r="AD47" s="632" t="n"/>
      <c r="AE47" s="632" t="n"/>
      <c r="AF47" s="632" t="n"/>
      <c r="AG47" s="633" t="n"/>
      <c r="AH47" s="634" t="n"/>
      <c r="AI47" s="634" t="n"/>
      <c r="AJ47" s="631" t="n"/>
      <c r="AK47" s="631" t="n"/>
      <c r="AL47" s="631" t="n"/>
      <c r="AM47" s="631" t="n"/>
      <c r="AN47" s="631" t="n"/>
      <c r="AO47" s="631" t="n"/>
      <c r="AP47" s="631" t="n"/>
      <c r="AQ47" s="629" t="n"/>
      <c r="AR47" s="629" t="n"/>
      <c r="AS47" s="628" t="n"/>
      <c r="AT47" s="628" t="inlineStr">
        <is>
          <t>x</t>
        </is>
      </c>
      <c r="AU47" s="628" t="n"/>
      <c r="AV47" s="628" t="n"/>
      <c r="AW47" s="628" t="n"/>
      <c r="AX47" s="628" t="n"/>
      <c r="AY47" s="628" t="n"/>
      <c r="AZ47" s="628" t="n"/>
      <c r="BA47" s="628" t="n"/>
      <c r="BB47" s="628" t="n"/>
      <c r="BC47" s="629" t="n"/>
      <c r="BD47" s="629" t="n"/>
      <c r="BE47" s="628" t="n"/>
      <c r="BG47" s="505">
        <f>IF(LEFT($O47,3)="PO ",COUNTIF($O$38:$O47,"PO *"),"")</f>
        <v/>
      </c>
      <c r="BH47" s="505">
        <f>IF(LEFT($O47,4)="TAO ",COUNTIF($O$38:$O47,"TAO *"),"")</f>
        <v/>
      </c>
      <c r="BI47" s="505">
        <f>IF(LEFT($O47,3)="CO ",COUNTIF($O$38:$O47,"CO *"),"")</f>
        <v/>
      </c>
      <c r="BK47" s="505">
        <f>IF($O47="PO - Inspectie (visueel)","x","")</f>
        <v/>
      </c>
      <c r="BL47" s="505">
        <f>IF($O47="PO - Inspectie (meten)","x","")</f>
        <v/>
      </c>
      <c r="BM47" s="505">
        <f>IF($O47="PO - Preservering","x","")</f>
        <v/>
      </c>
      <c r="BN47" s="505">
        <f>IF($O47="PO - Revisie","x","")</f>
        <v/>
      </c>
      <c r="BO47" s="505">
        <f>IF($O47="PO - Vervanging","x","")</f>
        <v/>
      </c>
      <c r="BP47" s="505">
        <f>IF($O47="PO - Testen","x","")</f>
        <v/>
      </c>
      <c r="BQ47" s="505">
        <f>IF($O47="TAO - Revisie","x","")</f>
        <v/>
      </c>
      <c r="BR47" s="505">
        <f>IF($O47="TAO - Vervanging","x","")</f>
        <v/>
      </c>
      <c r="BS47" s="505">
        <f>IF($O47="CO - Reparatie","x","")</f>
        <v/>
      </c>
      <c r="BT47" s="505">
        <f>IF($O47="CO - Vervanging","x","")</f>
        <v/>
      </c>
      <c r="BV47" s="505">
        <f>IF(N($S47)=0,"",1/$S47)</f>
        <v/>
      </c>
    </row>
    <row r="48" ht="15" customHeight="1" s="189">
      <c r="A48" s="627" t="n">
        <v>11</v>
      </c>
      <c r="B48" s="628" t="n">
        <v>1</v>
      </c>
      <c r="C48" s="628" t="n">
        <v>2</v>
      </c>
      <c r="D48" s="628" t="n"/>
      <c r="E48" s="628" t="n"/>
      <c r="F48" s="628" t="n"/>
      <c r="G48" s="628" t="n"/>
      <c r="H48" s="628" t="n"/>
      <c r="I48" s="628" t="n"/>
      <c r="J48" s="628" t="n"/>
      <c r="K48" s="628" t="n"/>
      <c r="L48" s="628" t="inlineStr">
        <is>
          <t>Verlichting</t>
        </is>
      </c>
      <c r="M48" s="629" t="n">
        <v>1</v>
      </c>
      <c r="N48" s="628" t="n"/>
      <c r="O48" s="628" t="n"/>
      <c r="P48" s="628" t="n"/>
      <c r="Q48" s="628" t="n"/>
      <c r="R48" s="628" t="n"/>
      <c r="S48" s="630" t="n"/>
      <c r="T48" s="628" t="n"/>
      <c r="U48" s="628" t="n"/>
      <c r="V48" s="628" t="n"/>
      <c r="W48" s="628" t="n"/>
      <c r="X48" s="631" t="n"/>
      <c r="Y48" s="631" t="n"/>
      <c r="Z48" s="631" t="n"/>
      <c r="AA48" s="631" t="n"/>
      <c r="AB48" s="631" t="n"/>
      <c r="AC48" s="631" t="n"/>
      <c r="AD48" s="632" t="n"/>
      <c r="AE48" s="632" t="n"/>
      <c r="AF48" s="632" t="n"/>
      <c r="AG48" s="633" t="n"/>
      <c r="AH48" s="634" t="n"/>
      <c r="AI48" s="634" t="n"/>
      <c r="AJ48" s="631" t="n"/>
      <c r="AK48" s="631" t="n"/>
      <c r="AL48" s="631" t="n"/>
      <c r="AM48" s="631" t="n"/>
      <c r="AN48" s="631" t="n"/>
      <c r="AO48" s="631" t="n"/>
      <c r="AP48" s="631" t="n"/>
      <c r="AQ48" s="629" t="n"/>
      <c r="AR48" s="629" t="n"/>
      <c r="AS48" s="628" t="n"/>
      <c r="AT48" s="628" t="inlineStr">
        <is>
          <t>x</t>
        </is>
      </c>
      <c r="AU48" s="628" t="n"/>
      <c r="AV48" s="628" t="n"/>
      <c r="AW48" s="628" t="n"/>
      <c r="AX48" s="628" t="n"/>
      <c r="AY48" s="628" t="n"/>
      <c r="AZ48" s="628" t="n"/>
      <c r="BA48" s="628" t="n"/>
      <c r="BB48" s="628" t="n"/>
      <c r="BC48" s="629" t="n"/>
      <c r="BD48" s="629" t="n"/>
      <c r="BE48" s="628" t="n"/>
      <c r="BG48" s="505">
        <f>IF(LEFT($O48,3)="PO ",COUNTIF($O$38:$O48,"PO *"),"")</f>
        <v/>
      </c>
      <c r="BH48" s="505">
        <f>IF(LEFT($O48,4)="TAO ",COUNTIF($O$38:$O48,"TAO *"),"")</f>
        <v/>
      </c>
      <c r="BI48" s="505">
        <f>IF(LEFT($O48,3)="CO ",COUNTIF($O$38:$O48,"CO *"),"")</f>
        <v/>
      </c>
      <c r="BK48" s="505">
        <f>IF($O48="PO - Inspectie (visueel)","x","")</f>
        <v/>
      </c>
      <c r="BL48" s="505">
        <f>IF($O48="PO - Inspectie (meten)","x","")</f>
        <v/>
      </c>
      <c r="BM48" s="505">
        <f>IF($O48="PO - Preservering","x","")</f>
        <v/>
      </c>
      <c r="BN48" s="505">
        <f>IF($O48="PO - Revisie","x","")</f>
        <v/>
      </c>
      <c r="BO48" s="505">
        <f>IF($O48="PO - Vervanging","x","")</f>
        <v/>
      </c>
      <c r="BP48" s="505">
        <f>IF($O48="PO - Testen","x","")</f>
        <v/>
      </c>
      <c r="BQ48" s="505">
        <f>IF($O48="TAO - Revisie","x","")</f>
        <v/>
      </c>
      <c r="BR48" s="505">
        <f>IF($O48="TAO - Vervanging","x","")</f>
        <v/>
      </c>
      <c r="BS48" s="505">
        <f>IF($O48="CO - Reparatie","x","")</f>
        <v/>
      </c>
      <c r="BT48" s="505">
        <f>IF($O48="CO - Vervanging","x","")</f>
        <v/>
      </c>
      <c r="BV48" s="505">
        <f>IF(N($S48)=0,"",1/$S48)</f>
        <v/>
      </c>
    </row>
    <row r="49" ht="15" customHeight="1" s="189">
      <c r="A49" s="627" t="n">
        <v>12</v>
      </c>
      <c r="B49" s="628" t="n">
        <v>1</v>
      </c>
      <c r="C49" s="628" t="n">
        <v>2</v>
      </c>
      <c r="D49" s="628" t="n"/>
      <c r="E49" s="628" t="n"/>
      <c r="F49" s="628" t="n"/>
      <c r="G49" s="628" t="n"/>
      <c r="H49" s="628" t="n"/>
      <c r="I49" s="628" t="n"/>
      <c r="J49" s="628" t="n"/>
      <c r="K49" s="628" t="n"/>
      <c r="L49" s="628" t="inlineStr">
        <is>
          <t>Verlichting</t>
        </is>
      </c>
      <c r="M49" s="629" t="n">
        <v>1</v>
      </c>
      <c r="N49" s="628" t="n"/>
      <c r="O49" s="628" t="n"/>
      <c r="P49" s="628" t="n"/>
      <c r="Q49" s="628" t="n"/>
      <c r="R49" s="628" t="n"/>
      <c r="S49" s="630" t="n"/>
      <c r="T49" s="628" t="n"/>
      <c r="U49" s="628" t="n"/>
      <c r="V49" s="628" t="n"/>
      <c r="W49" s="628" t="n"/>
      <c r="X49" s="631" t="n"/>
      <c r="Y49" s="631" t="n"/>
      <c r="Z49" s="631" t="n"/>
      <c r="AA49" s="631" t="n"/>
      <c r="AB49" s="631" t="n"/>
      <c r="AC49" s="631" t="n"/>
      <c r="AD49" s="632" t="n"/>
      <c r="AE49" s="632" t="n"/>
      <c r="AF49" s="632" t="n"/>
      <c r="AG49" s="633" t="n"/>
      <c r="AH49" s="634" t="n"/>
      <c r="AI49" s="634" t="n"/>
      <c r="AJ49" s="631" t="n"/>
      <c r="AK49" s="631" t="n"/>
      <c r="AL49" s="631" t="n"/>
      <c r="AM49" s="631" t="n"/>
      <c r="AN49" s="631" t="n"/>
      <c r="AO49" s="631" t="n"/>
      <c r="AP49" s="631" t="n"/>
      <c r="AQ49" s="629" t="n"/>
      <c r="AR49" s="629" t="n"/>
      <c r="AS49" s="628" t="n"/>
      <c r="AT49" s="628" t="inlineStr">
        <is>
          <t>x</t>
        </is>
      </c>
      <c r="AU49" s="628" t="n"/>
      <c r="AV49" s="628" t="n"/>
      <c r="AW49" s="628" t="n"/>
      <c r="AX49" s="628" t="n"/>
      <c r="AY49" s="628" t="n"/>
      <c r="AZ49" s="628" t="n"/>
      <c r="BA49" s="628" t="n"/>
      <c r="BB49" s="628" t="n"/>
      <c r="BC49" s="629" t="n"/>
      <c r="BD49" s="629" t="n"/>
      <c r="BE49" s="628" t="n"/>
      <c r="BG49" s="505">
        <f>IF(LEFT($O49,3)="PO ",COUNTIF($O$38:$O49,"PO *"),"")</f>
        <v/>
      </c>
      <c r="BH49" s="505">
        <f>IF(LEFT($O49,4)="TAO ",COUNTIF($O$38:$O49,"TAO *"),"")</f>
        <v/>
      </c>
      <c r="BI49" s="505">
        <f>IF(LEFT($O49,3)="CO ",COUNTIF($O$38:$O49,"CO *"),"")</f>
        <v/>
      </c>
      <c r="BK49" s="505">
        <f>IF($O49="PO - Inspectie (visueel)","x","")</f>
        <v/>
      </c>
      <c r="BL49" s="505">
        <f>IF($O49="PO - Inspectie (meten)","x","")</f>
        <v/>
      </c>
      <c r="BM49" s="505">
        <f>IF($O49="PO - Preservering","x","")</f>
        <v/>
      </c>
      <c r="BN49" s="505">
        <f>IF($O49="PO - Revisie","x","")</f>
        <v/>
      </c>
      <c r="BO49" s="505">
        <f>IF($O49="PO - Vervanging","x","")</f>
        <v/>
      </c>
      <c r="BP49" s="505">
        <f>IF($O49="PO - Testen","x","")</f>
        <v/>
      </c>
      <c r="BQ49" s="505">
        <f>IF($O49="TAO - Revisie","x","")</f>
        <v/>
      </c>
      <c r="BR49" s="505">
        <f>IF($O49="TAO - Vervanging","x","")</f>
        <v/>
      </c>
      <c r="BS49" s="505">
        <f>IF($O49="CO - Reparatie","x","")</f>
        <v/>
      </c>
      <c r="BT49" s="505">
        <f>IF($O49="CO - Vervanging","x","")</f>
        <v/>
      </c>
      <c r="BV49" s="505">
        <f>IF(N($S49)=0,"",1/$S49)</f>
        <v/>
      </c>
    </row>
    <row r="50" ht="15" customHeight="1" s="189">
      <c r="A50" s="627" t="n">
        <v>13</v>
      </c>
      <c r="B50" s="628" t="n">
        <v>1</v>
      </c>
      <c r="C50" s="628" t="n">
        <v>2</v>
      </c>
      <c r="D50" s="628" t="n">
        <v>1</v>
      </c>
      <c r="E50" s="628" t="n"/>
      <c r="F50" s="628" t="n"/>
      <c r="G50" s="628" t="n"/>
      <c r="H50" s="628" t="n"/>
      <c r="I50" s="628" t="n"/>
      <c r="J50" s="628" t="n"/>
      <c r="K50" s="628" t="n"/>
      <c r="L50" s="628" t="inlineStr">
        <is>
          <t>Dynamo</t>
        </is>
      </c>
      <c r="M50" s="629" t="n">
        <v>1</v>
      </c>
      <c r="N50" s="628" t="n"/>
      <c r="O50" s="628" t="inlineStr">
        <is>
          <t>PO - Inspectie (meten)</t>
        </is>
      </c>
      <c r="P50" s="628" t="n"/>
      <c r="Q50" s="628" t="inlineStr">
        <is>
          <t>Doormeten</t>
        </is>
      </c>
      <c r="R50" s="628" t="n"/>
      <c r="S50" s="630" t="n">
        <v>0.5</v>
      </c>
      <c r="T50" s="628" t="inlineStr">
        <is>
          <t>j</t>
        </is>
      </c>
      <c r="U50" s="628" t="n"/>
      <c r="V50" s="628" t="n"/>
      <c r="W50" s="628" t="inlineStr">
        <is>
          <t>j</t>
        </is>
      </c>
      <c r="X50" s="631" t="n"/>
      <c r="Y50" s="631" t="n"/>
      <c r="Z50" s="631" t="n">
        <v>1</v>
      </c>
      <c r="AA50" s="631" t="n"/>
      <c r="AB50" s="631" t="n"/>
      <c r="AC50" s="631" t="n"/>
      <c r="AD50" s="632" t="n"/>
      <c r="AE50" s="632" t="n"/>
      <c r="AF50" s="632" t="n"/>
      <c r="AG50" s="633" t="n"/>
      <c r="AH50" s="634" t="n"/>
      <c r="AI50" s="634" t="n"/>
      <c r="AJ50" s="631" t="n"/>
      <c r="AK50" s="631" t="n"/>
      <c r="AL50" s="631" t="n"/>
      <c r="AM50" s="631" t="n"/>
      <c r="AN50" s="631" t="n"/>
      <c r="AO50" s="631" t="n"/>
      <c r="AP50" s="631" t="n"/>
      <c r="AQ50" s="629" t="n"/>
      <c r="AR50" s="629" t="n"/>
      <c r="AS50" s="628" t="n"/>
      <c r="AT50" s="628" t="inlineStr">
        <is>
          <t>x</t>
        </is>
      </c>
      <c r="AU50" s="628" t="n"/>
      <c r="AV50" s="628" t="n"/>
      <c r="AW50" s="628" t="n"/>
      <c r="AX50" s="628" t="n"/>
      <c r="AY50" s="628" t="n"/>
      <c r="AZ50" s="628" t="n"/>
      <c r="BA50" s="628" t="n"/>
      <c r="BB50" s="628" t="n"/>
      <c r="BC50" s="629" t="n">
        <v>1</v>
      </c>
      <c r="BD50" s="629" t="n"/>
      <c r="BE50" s="628" t="n"/>
      <c r="BG50" s="505">
        <f>IF(LEFT($O50,3)="PO ",COUNTIF($O$38:$O50,"PO *"),"")</f>
        <v/>
      </c>
      <c r="BH50" s="505">
        <f>IF(LEFT($O50,4)="TAO ",COUNTIF($O$38:$O50,"TAO *"),"")</f>
        <v/>
      </c>
      <c r="BI50" s="505">
        <f>IF(LEFT($O50,3)="CO ",COUNTIF($O$38:$O50,"CO *"),"")</f>
        <v/>
      </c>
      <c r="BK50" s="505">
        <f>IF($O50="PO - Inspectie (visueel)","x","")</f>
        <v/>
      </c>
      <c r="BL50" s="505">
        <f>IF($O50="PO - Inspectie (meten)","x","")</f>
        <v/>
      </c>
      <c r="BM50" s="505">
        <f>IF($O50="PO - Preservering","x","")</f>
        <v/>
      </c>
      <c r="BN50" s="505">
        <f>IF($O50="PO - Revisie","x","")</f>
        <v/>
      </c>
      <c r="BO50" s="505">
        <f>IF($O50="PO - Vervanging","x","")</f>
        <v/>
      </c>
      <c r="BP50" s="505">
        <f>IF($O50="PO - Testen","x","")</f>
        <v/>
      </c>
      <c r="BQ50" s="505">
        <f>IF($O50="TAO - Revisie","x","")</f>
        <v/>
      </c>
      <c r="BR50" s="505">
        <f>IF($O50="TAO - Vervanging","x","")</f>
        <v/>
      </c>
      <c r="BS50" s="505">
        <f>IF($O50="CO - Reparatie","x","")</f>
        <v/>
      </c>
      <c r="BT50" s="505">
        <f>IF($O50="CO - Vervanging","x","")</f>
        <v/>
      </c>
      <c r="BV50" s="505">
        <f>IF(N($S50)=0,"",1/$S50)</f>
        <v/>
      </c>
    </row>
    <row r="51" ht="15" customHeight="1" s="189">
      <c r="A51" s="627" t="n">
        <v>14</v>
      </c>
      <c r="B51" s="628" t="n">
        <v>1</v>
      </c>
      <c r="C51" s="628" t="n">
        <v>2</v>
      </c>
      <c r="D51" s="628" t="n">
        <v>1</v>
      </c>
      <c r="E51" s="628" t="n"/>
      <c r="F51" s="628" t="n"/>
      <c r="G51" s="628" t="n"/>
      <c r="H51" s="628" t="n"/>
      <c r="I51" s="628" t="n"/>
      <c r="J51" s="628" t="n"/>
      <c r="K51" s="628" t="n"/>
      <c r="L51" s="628" t="inlineStr">
        <is>
          <t>Dynamo</t>
        </is>
      </c>
      <c r="M51" s="629" t="n">
        <v>1</v>
      </c>
      <c r="N51" s="628" t="n"/>
      <c r="O51" s="628" t="inlineStr">
        <is>
          <t>TAO - Vervanging</t>
        </is>
      </c>
      <c r="P51" s="628" t="n"/>
      <c r="Q51" s="628" t="inlineStr">
        <is>
          <t>Vervangen</t>
        </is>
      </c>
      <c r="R51" s="628" t="n"/>
      <c r="S51" s="630" t="n">
        <v>0.2</v>
      </c>
      <c r="T51" s="628" t="inlineStr">
        <is>
          <t>j</t>
        </is>
      </c>
      <c r="U51" s="628" t="n"/>
      <c r="V51" s="628" t="n"/>
      <c r="W51" s="628" t="inlineStr">
        <is>
          <t>j</t>
        </is>
      </c>
      <c r="X51" s="631" t="n"/>
      <c r="Y51" s="631" t="n"/>
      <c r="Z51" s="631" t="n">
        <v>1</v>
      </c>
      <c r="AA51" s="631" t="n"/>
      <c r="AB51" s="631" t="n"/>
      <c r="AC51" s="631" t="n"/>
      <c r="AD51" s="632" t="n">
        <v>100</v>
      </c>
      <c r="AE51" s="632" t="n"/>
      <c r="AF51" s="632" t="n"/>
      <c r="AG51" s="633" t="n"/>
      <c r="AH51" s="634" t="n"/>
      <c r="AI51" s="634" t="n"/>
      <c r="AJ51" s="631" t="n"/>
      <c r="AK51" s="631" t="n"/>
      <c r="AL51" s="631" t="n"/>
      <c r="AM51" s="631" t="n"/>
      <c r="AN51" s="631" t="n"/>
      <c r="AO51" s="631" t="n"/>
      <c r="AP51" s="631" t="n"/>
      <c r="AQ51" s="629" t="n"/>
      <c r="AR51" s="629" t="n"/>
      <c r="AS51" s="628" t="n"/>
      <c r="AT51" s="628" t="inlineStr">
        <is>
          <t>x</t>
        </is>
      </c>
      <c r="AU51" s="628" t="n"/>
      <c r="AV51" s="628" t="n"/>
      <c r="AW51" s="628" t="n"/>
      <c r="AX51" s="628" t="n"/>
      <c r="AY51" s="628" t="n"/>
      <c r="AZ51" s="628" t="n"/>
      <c r="BA51" s="628" t="n"/>
      <c r="BB51" s="628" t="n"/>
      <c r="BC51" s="629" t="n"/>
      <c r="BD51" s="629" t="n"/>
      <c r="BE51" s="628" t="n"/>
      <c r="BG51" s="505">
        <f>IF(LEFT($O51,3)="PO ",COUNTIF($O$38:$O51,"PO *"),"")</f>
        <v/>
      </c>
      <c r="BH51" s="505">
        <f>IF(LEFT($O51,4)="TAO ",COUNTIF($O$38:$O51,"TAO *"),"")</f>
        <v/>
      </c>
      <c r="BI51" s="505">
        <f>IF(LEFT($O51,3)="CO ",COUNTIF($O$38:$O51,"CO *"),"")</f>
        <v/>
      </c>
      <c r="BK51" s="505">
        <f>IF($O51="PO - Inspectie (visueel)","x","")</f>
        <v/>
      </c>
      <c r="BL51" s="505">
        <f>IF($O51="PO - Inspectie (meten)","x","")</f>
        <v/>
      </c>
      <c r="BM51" s="505">
        <f>IF($O51="PO - Preservering","x","")</f>
        <v/>
      </c>
      <c r="BN51" s="505">
        <f>IF($O51="PO - Revisie","x","")</f>
        <v/>
      </c>
      <c r="BO51" s="505">
        <f>IF($O51="PO - Vervanging","x","")</f>
        <v/>
      </c>
      <c r="BP51" s="505">
        <f>IF($O51="PO - Testen","x","")</f>
        <v/>
      </c>
      <c r="BQ51" s="505">
        <f>IF($O51="TAO - Revisie","x","")</f>
        <v/>
      </c>
      <c r="BR51" s="505">
        <f>IF($O51="TAO - Vervanging","x","")</f>
        <v/>
      </c>
      <c r="BS51" s="505">
        <f>IF($O51="CO - Reparatie","x","")</f>
        <v/>
      </c>
      <c r="BT51" s="505">
        <f>IF($O51="CO - Vervanging","x","")</f>
        <v/>
      </c>
      <c r="BV51" s="505">
        <f>IF(N($S51)=0,"",1/$S51)</f>
        <v/>
      </c>
    </row>
    <row r="52" ht="15" customHeight="1" s="189">
      <c r="A52" s="627" t="n">
        <v>15</v>
      </c>
      <c r="B52" s="628" t="n">
        <v>1</v>
      </c>
      <c r="C52" s="628" t="n">
        <v>2</v>
      </c>
      <c r="D52" s="628" t="n">
        <v>1</v>
      </c>
      <c r="E52" s="628" t="n"/>
      <c r="F52" s="628" t="n"/>
      <c r="G52" s="628" t="n"/>
      <c r="H52" s="628" t="n"/>
      <c r="I52" s="628" t="n"/>
      <c r="J52" s="628" t="n"/>
      <c r="K52" s="628" t="n"/>
      <c r="L52" s="628" t="inlineStr">
        <is>
          <t>Dynamo</t>
        </is>
      </c>
      <c r="M52" s="629" t="n">
        <v>1</v>
      </c>
      <c r="N52" s="628" t="n"/>
      <c r="O52" s="628" t="n"/>
      <c r="P52" s="628" t="n"/>
      <c r="Q52" s="628" t="n"/>
      <c r="R52" s="628" t="n"/>
      <c r="S52" s="630" t="n"/>
      <c r="T52" s="628" t="n"/>
      <c r="U52" s="628" t="n"/>
      <c r="V52" s="628" t="n"/>
      <c r="W52" s="628" t="n"/>
      <c r="X52" s="631" t="n"/>
      <c r="Y52" s="631" t="n"/>
      <c r="Z52" s="631" t="n"/>
      <c r="AA52" s="631" t="n"/>
      <c r="AB52" s="631" t="n"/>
      <c r="AC52" s="631" t="n"/>
      <c r="AD52" s="632" t="n"/>
      <c r="AE52" s="632" t="n"/>
      <c r="AF52" s="632" t="n"/>
      <c r="AG52" s="633" t="n"/>
      <c r="AH52" s="634" t="n"/>
      <c r="AI52" s="634" t="n"/>
      <c r="AJ52" s="631" t="n"/>
      <c r="AK52" s="631" t="n"/>
      <c r="AL52" s="631" t="n"/>
      <c r="AM52" s="631" t="n"/>
      <c r="AN52" s="631" t="n"/>
      <c r="AO52" s="631" t="n"/>
      <c r="AP52" s="631" t="n"/>
      <c r="AQ52" s="629" t="n"/>
      <c r="AR52" s="629" t="n"/>
      <c r="AS52" s="628" t="n"/>
      <c r="AT52" s="628" t="inlineStr">
        <is>
          <t>x</t>
        </is>
      </c>
      <c r="AU52" s="628" t="n"/>
      <c r="AV52" s="628" t="n"/>
      <c r="AW52" s="628" t="n"/>
      <c r="AX52" s="628" t="n"/>
      <c r="AY52" s="628" t="n"/>
      <c r="AZ52" s="628" t="n"/>
      <c r="BA52" s="628" t="n"/>
      <c r="BB52" s="628" t="n"/>
      <c r="BC52" s="629" t="n"/>
      <c r="BD52" s="629" t="n"/>
      <c r="BE52" s="628" t="n"/>
      <c r="BG52" s="505">
        <f>IF(LEFT($O52,3)="PO ",COUNTIF($O$38:$O52,"PO *"),"")</f>
        <v/>
      </c>
      <c r="BH52" s="505">
        <f>IF(LEFT($O52,4)="TAO ",COUNTIF($O$38:$O52,"TAO *"),"")</f>
        <v/>
      </c>
      <c r="BI52" s="505">
        <f>IF(LEFT($O52,3)="CO ",COUNTIF($O$38:$O52,"CO *"),"")</f>
        <v/>
      </c>
      <c r="BK52" s="505">
        <f>IF($O52="PO - Inspectie (visueel)","x","")</f>
        <v/>
      </c>
      <c r="BL52" s="505">
        <f>IF($O52="PO - Inspectie (meten)","x","")</f>
        <v/>
      </c>
      <c r="BM52" s="505">
        <f>IF($O52="PO - Preservering","x","")</f>
        <v/>
      </c>
      <c r="BN52" s="505">
        <f>IF($O52="PO - Revisie","x","")</f>
        <v/>
      </c>
      <c r="BO52" s="505">
        <f>IF($O52="PO - Vervanging","x","")</f>
        <v/>
      </c>
      <c r="BP52" s="505">
        <f>IF($O52="PO - Testen","x","")</f>
        <v/>
      </c>
      <c r="BQ52" s="505">
        <f>IF($O52="TAO - Revisie","x","")</f>
        <v/>
      </c>
      <c r="BR52" s="505">
        <f>IF($O52="TAO - Vervanging","x","")</f>
        <v/>
      </c>
      <c r="BS52" s="505">
        <f>IF($O52="CO - Reparatie","x","")</f>
        <v/>
      </c>
      <c r="BT52" s="505">
        <f>IF($O52="CO - Vervanging","x","")</f>
        <v/>
      </c>
      <c r="BV52" s="505">
        <f>IF(N($S52)=0,"",1/$S52)</f>
        <v/>
      </c>
    </row>
    <row r="53" ht="15" customHeight="1" s="189">
      <c r="A53" s="627" t="n">
        <v>16</v>
      </c>
      <c r="B53" s="628" t="n">
        <v>1</v>
      </c>
      <c r="C53" s="628" t="n">
        <v>2</v>
      </c>
      <c r="D53" s="628" t="n">
        <v>2</v>
      </c>
      <c r="E53" s="628" t="n"/>
      <c r="F53" s="628" t="n"/>
      <c r="G53" s="628" t="n"/>
      <c r="H53" s="628" t="n"/>
      <c r="I53" s="628" t="n"/>
      <c r="J53" s="628" t="n"/>
      <c r="K53" s="628" t="n"/>
      <c r="L53" s="628" t="inlineStr">
        <is>
          <t>Lampje (voor en achter)</t>
        </is>
      </c>
      <c r="M53" s="629" t="n">
        <v>1</v>
      </c>
      <c r="N53" s="628" t="n"/>
      <c r="O53" s="628" t="n"/>
      <c r="P53" s="628" t="n"/>
      <c r="Q53" s="628" t="n"/>
      <c r="R53" s="628" t="n"/>
      <c r="S53" s="630" t="n"/>
      <c r="T53" s="628" t="n"/>
      <c r="U53" s="628" t="n"/>
      <c r="V53" s="628" t="n"/>
      <c r="W53" s="628" t="n"/>
      <c r="X53" s="631" t="n"/>
      <c r="Y53" s="631" t="n"/>
      <c r="Z53" s="631" t="n"/>
      <c r="AA53" s="631" t="n"/>
      <c r="AB53" s="631" t="n"/>
      <c r="AC53" s="631" t="n"/>
      <c r="AD53" s="632" t="n"/>
      <c r="AE53" s="632" t="n"/>
      <c r="AF53" s="632" t="n"/>
      <c r="AG53" s="633" t="n"/>
      <c r="AH53" s="634" t="n"/>
      <c r="AI53" s="634" t="n"/>
      <c r="AJ53" s="631" t="n"/>
      <c r="AK53" s="631" t="n"/>
      <c r="AL53" s="631" t="n"/>
      <c r="AM53" s="631" t="n"/>
      <c r="AN53" s="631" t="n"/>
      <c r="AO53" s="631" t="n"/>
      <c r="AP53" s="631" t="n"/>
      <c r="AQ53" s="629" t="n"/>
      <c r="AR53" s="629" t="n"/>
      <c r="AS53" s="628" t="n"/>
      <c r="AT53" s="628" t="inlineStr">
        <is>
          <t>x</t>
        </is>
      </c>
      <c r="AU53" s="628" t="n"/>
      <c r="AV53" s="628" t="n"/>
      <c r="AW53" s="628" t="n"/>
      <c r="AX53" s="628" t="n"/>
      <c r="AY53" s="628" t="n"/>
      <c r="AZ53" s="628" t="n"/>
      <c r="BA53" s="628" t="n"/>
      <c r="BB53" s="628" t="n"/>
      <c r="BC53" s="629" t="n"/>
      <c r="BD53" s="629" t="n"/>
      <c r="BE53" s="628" t="n"/>
      <c r="BG53" s="505">
        <f>IF(LEFT($O53,3)="PO ",COUNTIF($O$38:$O53,"PO *"),"")</f>
        <v/>
      </c>
      <c r="BH53" s="505">
        <f>IF(LEFT($O53,4)="TAO ",COUNTIF($O$38:$O53,"TAO *"),"")</f>
        <v/>
      </c>
      <c r="BI53" s="505">
        <f>IF(LEFT($O53,3)="CO ",COUNTIF($O$38:$O53,"CO *"),"")</f>
        <v/>
      </c>
      <c r="BK53" s="505">
        <f>IF($O53="PO - Inspectie (visueel)","x","")</f>
        <v/>
      </c>
      <c r="BL53" s="505">
        <f>IF($O53="PO - Inspectie (meten)","x","")</f>
        <v/>
      </c>
      <c r="BM53" s="505">
        <f>IF($O53="PO - Preservering","x","")</f>
        <v/>
      </c>
      <c r="BN53" s="505">
        <f>IF($O53="PO - Revisie","x","")</f>
        <v/>
      </c>
      <c r="BO53" s="505">
        <f>IF($O53="PO - Vervanging","x","")</f>
        <v/>
      </c>
      <c r="BP53" s="505">
        <f>IF($O53="PO - Testen","x","")</f>
        <v/>
      </c>
      <c r="BQ53" s="505">
        <f>IF($O53="TAO - Revisie","x","")</f>
        <v/>
      </c>
      <c r="BR53" s="505">
        <f>IF($O53="TAO - Vervanging","x","")</f>
        <v/>
      </c>
      <c r="BS53" s="505">
        <f>IF($O53="CO - Reparatie","x","")</f>
        <v/>
      </c>
      <c r="BT53" s="505">
        <f>IF($O53="CO - Vervanging","x","")</f>
        <v/>
      </c>
      <c r="BV53" s="505">
        <f>IF(N($S53)=0,"",1/$S53)</f>
        <v/>
      </c>
    </row>
    <row r="54" ht="15" customHeight="1" s="189">
      <c r="A54" s="627" t="n">
        <v>17</v>
      </c>
      <c r="B54" s="628" t="n">
        <v>1</v>
      </c>
      <c r="C54" s="628" t="n">
        <v>2</v>
      </c>
      <c r="D54" s="628" t="n">
        <v>2</v>
      </c>
      <c r="E54" s="628" t="n"/>
      <c r="F54" s="628" t="n"/>
      <c r="G54" s="628" t="n"/>
      <c r="H54" s="628" t="n"/>
      <c r="I54" s="628" t="n"/>
      <c r="J54" s="628" t="n"/>
      <c r="K54" s="628" t="n"/>
      <c r="L54" s="628" t="inlineStr">
        <is>
          <t>Lampje (voor en achter)</t>
        </is>
      </c>
      <c r="M54" s="629" t="n">
        <v>1</v>
      </c>
      <c r="N54" s="628" t="n"/>
      <c r="O54" s="628" t="n"/>
      <c r="P54" s="628" t="n"/>
      <c r="Q54" s="628" t="n"/>
      <c r="R54" s="628" t="n"/>
      <c r="S54" s="630" t="n"/>
      <c r="T54" s="628" t="n"/>
      <c r="U54" s="628" t="n"/>
      <c r="V54" s="628" t="n"/>
      <c r="W54" s="628" t="n"/>
      <c r="X54" s="631" t="n"/>
      <c r="Y54" s="631" t="n"/>
      <c r="Z54" s="631" t="n"/>
      <c r="AA54" s="631" t="n"/>
      <c r="AB54" s="631" t="n"/>
      <c r="AC54" s="631" t="n"/>
      <c r="AD54" s="632" t="n"/>
      <c r="AE54" s="632" t="n"/>
      <c r="AF54" s="632" t="n"/>
      <c r="AG54" s="633" t="n"/>
      <c r="AH54" s="634" t="n"/>
      <c r="AI54" s="634" t="n"/>
      <c r="AJ54" s="631" t="n"/>
      <c r="AK54" s="631" t="n"/>
      <c r="AL54" s="631" t="n"/>
      <c r="AM54" s="631" t="n"/>
      <c r="AN54" s="631" t="n"/>
      <c r="AO54" s="631" t="n"/>
      <c r="AP54" s="631" t="n"/>
      <c r="AQ54" s="629" t="n"/>
      <c r="AR54" s="629" t="n"/>
      <c r="AS54" s="628" t="n"/>
      <c r="AT54" s="628" t="inlineStr">
        <is>
          <t>x</t>
        </is>
      </c>
      <c r="AU54" s="628" t="n"/>
      <c r="AV54" s="628" t="n"/>
      <c r="AW54" s="628" t="n"/>
      <c r="AX54" s="628" t="n"/>
      <c r="AY54" s="628" t="n"/>
      <c r="AZ54" s="628" t="n"/>
      <c r="BA54" s="628" t="n"/>
      <c r="BB54" s="628" t="n"/>
      <c r="BC54" s="629" t="n"/>
      <c r="BD54" s="629" t="n"/>
      <c r="BE54" s="628" t="n"/>
      <c r="BG54" s="505">
        <f>IF(LEFT($O54,3)="PO ",COUNTIF($O$38:$O54,"PO *"),"")</f>
        <v/>
      </c>
      <c r="BH54" s="505">
        <f>IF(LEFT($O54,4)="TAO ",COUNTIF($O$38:$O54,"TAO *"),"")</f>
        <v/>
      </c>
      <c r="BI54" s="505">
        <f>IF(LEFT($O54,3)="CO ",COUNTIF($O$38:$O54,"CO *"),"")</f>
        <v/>
      </c>
      <c r="BK54" s="505">
        <f>IF($O54="PO - Inspectie (visueel)","x","")</f>
        <v/>
      </c>
      <c r="BL54" s="505">
        <f>IF($O54="PO - Inspectie (meten)","x","")</f>
        <v/>
      </c>
      <c r="BM54" s="505">
        <f>IF($O54="PO - Preservering","x","")</f>
        <v/>
      </c>
      <c r="BN54" s="505">
        <f>IF($O54="PO - Revisie","x","")</f>
        <v/>
      </c>
      <c r="BO54" s="505">
        <f>IF($O54="PO - Vervanging","x","")</f>
        <v/>
      </c>
      <c r="BP54" s="505">
        <f>IF($O54="PO - Testen","x","")</f>
        <v/>
      </c>
      <c r="BQ54" s="505">
        <f>IF($O54="TAO - Revisie","x","")</f>
        <v/>
      </c>
      <c r="BR54" s="505">
        <f>IF($O54="TAO - Vervanging","x","")</f>
        <v/>
      </c>
      <c r="BS54" s="505">
        <f>IF($O54="CO - Reparatie","x","")</f>
        <v/>
      </c>
      <c r="BT54" s="505">
        <f>IF($O54="CO - Vervanging","x","")</f>
        <v/>
      </c>
      <c r="BV54" s="505">
        <f>IF(N($S54)=0,"",1/$S54)</f>
        <v/>
      </c>
    </row>
    <row r="55" ht="15" customHeight="1" s="189">
      <c r="A55" s="627" t="n">
        <v>18</v>
      </c>
      <c r="B55" s="628" t="n">
        <v>1</v>
      </c>
      <c r="C55" s="628" t="n">
        <v>2</v>
      </c>
      <c r="D55" s="628" t="n">
        <v>2</v>
      </c>
      <c r="E55" s="628" t="n"/>
      <c r="F55" s="628" t="n"/>
      <c r="G55" s="628" t="n"/>
      <c r="H55" s="628" t="n"/>
      <c r="I55" s="628" t="n"/>
      <c r="J55" s="628" t="n"/>
      <c r="K55" s="628" t="n"/>
      <c r="L55" s="628" t="inlineStr">
        <is>
          <t>Lampje (voor en achter)</t>
        </is>
      </c>
      <c r="M55" s="629" t="n">
        <v>1</v>
      </c>
      <c r="N55" s="628" t="n"/>
      <c r="O55" s="628" t="inlineStr">
        <is>
          <t>CO - Vervanging</t>
        </is>
      </c>
      <c r="P55" s="628" t="n"/>
      <c r="Q55" s="628" t="inlineStr">
        <is>
          <t>Lampje vervangen</t>
        </is>
      </c>
      <c r="R55" s="628" t="n"/>
      <c r="S55" s="630" t="n">
        <v>0.5</v>
      </c>
      <c r="T55" s="628" t="inlineStr">
        <is>
          <t>m</t>
        </is>
      </c>
      <c r="U55" s="628" t="inlineStr">
        <is>
          <t>j</t>
        </is>
      </c>
      <c r="V55" s="628" t="inlineStr">
        <is>
          <t>j</t>
        </is>
      </c>
      <c r="W55" s="628" t="n"/>
      <c r="X55" s="631" t="n"/>
      <c r="Y55" s="631" t="n">
        <v>2</v>
      </c>
      <c r="Z55" s="631" t="n">
        <v>0.5</v>
      </c>
      <c r="AA55" s="631" t="n"/>
      <c r="AB55" s="631" t="n"/>
      <c r="AC55" s="631" t="n"/>
      <c r="AD55" s="632" t="n">
        <v>5</v>
      </c>
      <c r="AE55" s="632" t="n"/>
      <c r="AF55" s="632" t="n"/>
      <c r="AG55" s="633" t="n"/>
      <c r="AH55" s="634" t="n"/>
      <c r="AI55" s="634" t="n"/>
      <c r="AJ55" s="631" t="n"/>
      <c r="AK55" s="631" t="n"/>
      <c r="AL55" s="631" t="n">
        <v>1</v>
      </c>
      <c r="AM55" s="631" t="n">
        <v>1</v>
      </c>
      <c r="AN55" s="631" t="n">
        <v>8</v>
      </c>
      <c r="AO55" s="631" t="n">
        <v>24</v>
      </c>
      <c r="AP55" s="631" t="n">
        <v>12</v>
      </c>
      <c r="AQ55" s="629" t="n">
        <v>0</v>
      </c>
      <c r="AR55" s="629" t="n">
        <v>0</v>
      </c>
      <c r="AS55" s="628" t="n"/>
      <c r="AT55" s="628" t="inlineStr">
        <is>
          <t>x</t>
        </is>
      </c>
      <c r="AU55" s="628" t="n"/>
      <c r="AV55" s="628" t="n"/>
      <c r="AW55" s="628" t="n"/>
      <c r="AX55" s="628" t="n"/>
      <c r="AY55" s="628" t="n"/>
      <c r="AZ55" s="628" t="n"/>
      <c r="BA55" s="628" t="n"/>
      <c r="BB55" s="628" t="n"/>
      <c r="BC55" s="629" t="n"/>
      <c r="BD55" s="629" t="n"/>
      <c r="BE55" s="628" t="n"/>
      <c r="BG55" s="505">
        <f>IF(LEFT($O55,3)="PO ",COUNTIF($O$38:$O55,"PO *"),"")</f>
        <v/>
      </c>
      <c r="BH55" s="505">
        <f>IF(LEFT($O55,4)="TAO ",COUNTIF($O$38:$O55,"TAO *"),"")</f>
        <v/>
      </c>
      <c r="BI55" s="505">
        <f>IF(LEFT($O55,3)="CO ",COUNTIF($O$38:$O55,"CO *"),"")</f>
        <v/>
      </c>
      <c r="BK55" s="505">
        <f>IF($O55="PO - Inspectie (visueel)","x","")</f>
        <v/>
      </c>
      <c r="BL55" s="505">
        <f>IF($O55="PO - Inspectie (meten)","x","")</f>
        <v/>
      </c>
      <c r="BM55" s="505">
        <f>IF($O55="PO - Preservering","x","")</f>
        <v/>
      </c>
      <c r="BN55" s="505">
        <f>IF($O55="PO - Revisie","x","")</f>
        <v/>
      </c>
      <c r="BO55" s="505">
        <f>IF($O55="PO - Vervanging","x","")</f>
        <v/>
      </c>
      <c r="BP55" s="505">
        <f>IF($O55="PO - Testen","x","")</f>
        <v/>
      </c>
      <c r="BQ55" s="505">
        <f>IF($O55="TAO - Revisie","x","")</f>
        <v/>
      </c>
      <c r="BR55" s="505">
        <f>IF($O55="TAO - Vervanging","x","")</f>
        <v/>
      </c>
      <c r="BS55" s="505">
        <f>IF($O55="CO - Reparatie","x","")</f>
        <v/>
      </c>
      <c r="BT55" s="505">
        <f>IF($O55="CO - Vervanging","x","")</f>
        <v/>
      </c>
      <c r="BV55" s="505">
        <f>IF(N($S55)=0,"",1/$S55)</f>
        <v/>
      </c>
    </row>
    <row r="56" ht="15" customHeight="1" s="189">
      <c r="A56" s="627" t="n">
        <v>19</v>
      </c>
      <c r="B56" s="628" t="n"/>
      <c r="C56" s="628" t="n"/>
      <c r="D56" s="628" t="n"/>
      <c r="E56" s="628" t="n"/>
      <c r="F56" s="628" t="n"/>
      <c r="G56" s="628" t="n"/>
      <c r="H56" s="628" t="n"/>
      <c r="I56" s="628" t="n"/>
      <c r="J56" s="628" t="n"/>
      <c r="K56" s="628" t="n"/>
      <c r="L56" s="628" t="n"/>
      <c r="M56" s="629" t="n"/>
      <c r="N56" s="628" t="n"/>
      <c r="O56" s="628" t="n"/>
      <c r="P56" s="628" t="n"/>
      <c r="Q56" s="628" t="n"/>
      <c r="R56" s="628" t="n"/>
      <c r="S56" s="630" t="n"/>
      <c r="T56" s="628" t="n"/>
      <c r="U56" s="628" t="n"/>
      <c r="V56" s="628" t="n"/>
      <c r="W56" s="628" t="n"/>
      <c r="X56" s="631" t="n"/>
      <c r="Y56" s="631" t="n"/>
      <c r="Z56" s="631" t="n"/>
      <c r="AA56" s="631" t="n"/>
      <c r="AB56" s="631" t="n"/>
      <c r="AC56" s="631" t="n"/>
      <c r="AD56" s="632" t="n"/>
      <c r="AE56" s="632" t="n"/>
      <c r="AF56" s="632" t="n"/>
      <c r="AG56" s="633" t="n"/>
      <c r="AH56" s="634" t="n"/>
      <c r="AI56" s="634" t="n"/>
      <c r="AJ56" s="631" t="n"/>
      <c r="AK56" s="631" t="n"/>
      <c r="AL56" s="631" t="n"/>
      <c r="AM56" s="631" t="n"/>
      <c r="AN56" s="631" t="n"/>
      <c r="AO56" s="631" t="n"/>
      <c r="AP56" s="631" t="n"/>
      <c r="AQ56" s="629" t="n"/>
      <c r="AR56" s="629" t="n"/>
      <c r="AS56" s="628" t="n"/>
      <c r="AT56" s="628" t="n"/>
      <c r="AU56" s="628" t="n"/>
      <c r="AV56" s="628" t="n"/>
      <c r="AW56" s="628" t="n"/>
      <c r="AX56" s="628" t="n"/>
      <c r="AY56" s="628" t="n"/>
      <c r="AZ56" s="628" t="n"/>
      <c r="BA56" s="628" t="n"/>
      <c r="BB56" s="628" t="n"/>
      <c r="BC56" s="629" t="n"/>
      <c r="BD56" s="629" t="n"/>
      <c r="BE56" s="628" t="n"/>
      <c r="BG56" s="505">
        <f>IF(LEFT($O56,3)="PO ",COUNTIF($O$38:$O56,"PO *"),"")</f>
        <v/>
      </c>
      <c r="BH56" s="505">
        <f>IF(LEFT($O56,4)="TAO ",COUNTIF($O$38:$O56,"TAO *"),"")</f>
        <v/>
      </c>
      <c r="BI56" s="505">
        <f>IF(LEFT($O56,3)="CO ",COUNTIF($O$38:$O56,"CO *"),"")</f>
        <v/>
      </c>
      <c r="BK56" s="505">
        <f>IF($O56="PO - Inspectie (visueel)","x","")</f>
        <v/>
      </c>
      <c r="BL56" s="505">
        <f>IF($O56="PO - Inspectie (meten)","x","")</f>
        <v/>
      </c>
      <c r="BM56" s="505">
        <f>IF($O56="PO - Preservering","x","")</f>
        <v/>
      </c>
      <c r="BN56" s="505">
        <f>IF($O56="PO - Revisie","x","")</f>
        <v/>
      </c>
      <c r="BO56" s="505">
        <f>IF($O56="PO - Vervanging","x","")</f>
        <v/>
      </c>
      <c r="BP56" s="505">
        <f>IF($O56="PO - Testen","x","")</f>
        <v/>
      </c>
      <c r="BQ56" s="505">
        <f>IF($O56="TAO - Revisie","x","")</f>
        <v/>
      </c>
      <c r="BR56" s="505">
        <f>IF($O56="TAO - Vervanging","x","")</f>
        <v/>
      </c>
      <c r="BS56" s="505">
        <f>IF($O56="CO - Reparatie","x","")</f>
        <v/>
      </c>
      <c r="BT56" s="505">
        <f>IF($O56="CO - Vervanging","x","")</f>
        <v/>
      </c>
      <c r="BV56" s="505">
        <f>IF(N($S56)=0,"",1/$S56)</f>
        <v/>
      </c>
    </row>
    <row r="57" ht="15" customHeight="1" s="189">
      <c r="A57" s="627" t="n">
        <v>20</v>
      </c>
      <c r="B57" s="628" t="n"/>
      <c r="C57" s="628" t="n"/>
      <c r="D57" s="628" t="n"/>
      <c r="E57" s="628" t="n"/>
      <c r="F57" s="628" t="n"/>
      <c r="G57" s="628" t="n"/>
      <c r="H57" s="628" t="n"/>
      <c r="I57" s="628" t="n"/>
      <c r="J57" s="628" t="n"/>
      <c r="K57" s="628" t="n"/>
      <c r="L57" s="628" t="n"/>
      <c r="M57" s="629" t="n"/>
      <c r="N57" s="628" t="n"/>
      <c r="O57" s="628" t="n"/>
      <c r="P57" s="628" t="n"/>
      <c r="Q57" s="628" t="n"/>
      <c r="R57" s="628" t="n"/>
      <c r="S57" s="630" t="n"/>
      <c r="T57" s="628" t="n"/>
      <c r="U57" s="628" t="n"/>
      <c r="V57" s="628" t="n"/>
      <c r="W57" s="628" t="n"/>
      <c r="X57" s="631" t="n"/>
      <c r="Y57" s="631" t="n"/>
      <c r="Z57" s="631" t="n"/>
      <c r="AA57" s="631" t="n"/>
      <c r="AB57" s="631" t="n"/>
      <c r="AC57" s="631" t="n"/>
      <c r="AD57" s="632" t="n"/>
      <c r="AE57" s="632" t="n"/>
      <c r="AF57" s="632" t="n"/>
      <c r="AG57" s="633" t="n"/>
      <c r="AH57" s="634" t="n"/>
      <c r="AI57" s="634" t="n"/>
      <c r="AJ57" s="631" t="n"/>
      <c r="AK57" s="631" t="n"/>
      <c r="AL57" s="631" t="n"/>
      <c r="AM57" s="631" t="n"/>
      <c r="AN57" s="631" t="n"/>
      <c r="AO57" s="631" t="n"/>
      <c r="AP57" s="631" t="n"/>
      <c r="AQ57" s="629" t="n"/>
      <c r="AR57" s="629" t="n"/>
      <c r="AS57" s="628" t="n"/>
      <c r="AT57" s="628" t="n"/>
      <c r="AU57" s="628" t="n"/>
      <c r="AV57" s="628" t="n"/>
      <c r="AW57" s="628" t="n"/>
      <c r="AX57" s="628" t="n"/>
      <c r="AY57" s="628" t="n"/>
      <c r="AZ57" s="628" t="n"/>
      <c r="BA57" s="628" t="n"/>
      <c r="BB57" s="628" t="n"/>
      <c r="BC57" s="629" t="n"/>
      <c r="BD57" s="629" t="n"/>
      <c r="BE57" s="628" t="n"/>
      <c r="BG57" s="505">
        <f>IF(LEFT($O57,3)="PO ",COUNTIF($O$38:$O57,"PO *"),"")</f>
        <v/>
      </c>
      <c r="BH57" s="505">
        <f>IF(LEFT($O57,4)="TAO ",COUNTIF($O$38:$O57,"TAO *"),"")</f>
        <v/>
      </c>
      <c r="BI57" s="505">
        <f>IF(LEFT($O57,3)="CO ",COUNTIF($O$38:$O57,"CO *"),"")</f>
        <v/>
      </c>
      <c r="BK57" s="505">
        <f>IF($O57="PO - Inspectie (visueel)","x","")</f>
        <v/>
      </c>
      <c r="BL57" s="505">
        <f>IF($O57="PO - Inspectie (meten)","x","")</f>
        <v/>
      </c>
      <c r="BM57" s="505">
        <f>IF($O57="PO - Preservering","x","")</f>
        <v/>
      </c>
      <c r="BN57" s="505">
        <f>IF($O57="PO - Revisie","x","")</f>
        <v/>
      </c>
      <c r="BO57" s="505">
        <f>IF($O57="PO - Vervanging","x","")</f>
        <v/>
      </c>
      <c r="BP57" s="505">
        <f>IF($O57="PO - Testen","x","")</f>
        <v/>
      </c>
      <c r="BQ57" s="505">
        <f>IF($O57="TAO - Revisie","x","")</f>
        <v/>
      </c>
      <c r="BR57" s="505">
        <f>IF($O57="TAO - Vervanging","x","")</f>
        <v/>
      </c>
      <c r="BS57" s="505">
        <f>IF($O57="CO - Reparatie","x","")</f>
        <v/>
      </c>
      <c r="BT57" s="505">
        <f>IF($O57="CO - Vervanging","x","")</f>
        <v/>
      </c>
      <c r="BV57" s="505">
        <f>IF(N($S57)=0,"",1/$S57)</f>
        <v/>
      </c>
    </row>
    <row r="59">
      <c r="B59" s="504" t="inlineStr">
        <is>
          <t>5. Controle</t>
        </is>
      </c>
    </row>
    <row r="60">
      <c r="B60" s="603" t="inlineStr">
        <is>
          <t>Regels met een component</t>
        </is>
      </c>
      <c r="L60" s="635">
        <f>COUNTIF($L$38:$L$57,"?*")</f>
        <v/>
      </c>
      <c r="O60" s="579" t="inlineStr">
        <is>
          <t>van 20 regels beschikbaar</t>
        </is>
      </c>
    </row>
    <row r="61">
      <c r="B61" s="603" t="inlineStr">
        <is>
          <t>waarvan met een onderhoudsactie</t>
        </is>
      </c>
      <c r="L61" s="635">
        <f>COUNTIF($O$38:$O$57,"?*")</f>
        <v/>
      </c>
      <c r="O61" s="579" t="inlineStr">
        <is>
          <t>van 20 regels beschikbaar</t>
        </is>
      </c>
    </row>
    <row r="62">
      <c r="B62" s="603" t="inlineStr">
        <is>
          <t>waarvan periodiek onderhoud (PO)</t>
        </is>
      </c>
      <c r="L62" s="635">
        <f>COUNTIF($O$38:$O$57,"PO *")</f>
        <v/>
      </c>
      <c r="O62" s="579" t="inlineStr">
        <is>
          <t>van 11 regels op tabblad PO</t>
        </is>
      </c>
    </row>
    <row r="63">
      <c r="B63" s="603" t="inlineStr">
        <is>
          <t>waarvan toestandsafhankelijk (TAO)</t>
        </is>
      </c>
      <c r="L63" s="635">
        <f>COUNTIF($O$38:$O$57,"TAO *")</f>
        <v/>
      </c>
      <c r="O63" s="579" t="inlineStr">
        <is>
          <t>van 9 regels op tabblad TAO</t>
        </is>
      </c>
    </row>
    <row r="64">
      <c r="B64" s="603" t="inlineStr">
        <is>
          <t>waarvan correctief (SAO)</t>
        </is>
      </c>
      <c r="L64" s="635">
        <f>COUNTIF($O$38:$O$57,"CO *")</f>
        <v/>
      </c>
      <c r="O64" s="579" t="inlineStr">
        <is>
          <t>van 13 regels op tabblad SAO</t>
        </is>
      </c>
    </row>
    <row r="66">
      <c r="B66" s="570" t="inlineStr">
        <is>
          <t>Let op: staat een aantal hierboven rood, dan passen niet alle regels op het bijbehorende werkblad. Verdeel de regels anders of laat extra rijen toevoegen. Een regel zonder soort onderhoud telt alleen mee als onderdeel van de decompositie (bijvoorbeeld een samenstelling zonder eigen onderhoudsactie).</t>
        </is>
      </c>
    </row>
  </sheetData>
  <sheetProtection selectLockedCells="0" selectUnlockedCells="0" sheet="1" objects="0" insertRows="1" insertHyperlinks="1" autoFilter="0" scenarios="0" formatColumns="0" deleteColumns="1" insertColumns="1" pivotTables="1" deleteRows="1" formatCells="1" formatRows="0" sort="0"/>
  <autoFilter ref="A37:BE57"/>
  <mergeCells count="80">
    <mergeCell ref="L33:N33"/>
    <mergeCell ref="B30:K30"/>
    <mergeCell ref="B6:K6"/>
    <mergeCell ref="B20:K20"/>
    <mergeCell ref="AD36:AF36"/>
    <mergeCell ref="L25:N25"/>
    <mergeCell ref="L9:N9"/>
    <mergeCell ref="O64:T64"/>
    <mergeCell ref="L11:N11"/>
    <mergeCell ref="X36:AC36"/>
    <mergeCell ref="L32:N32"/>
    <mergeCell ref="B8:K8"/>
    <mergeCell ref="B17:K17"/>
    <mergeCell ref="L13:N13"/>
    <mergeCell ref="B5:I5"/>
    <mergeCell ref="B10:K10"/>
    <mergeCell ref="AQ36:AR36"/>
    <mergeCell ref="B19:K19"/>
    <mergeCell ref="L24:N24"/>
    <mergeCell ref="AJ36:AP36"/>
    <mergeCell ref="L18:N18"/>
    <mergeCell ref="O63:T63"/>
    <mergeCell ref="B9:K9"/>
    <mergeCell ref="L8:N8"/>
    <mergeCell ref="B59:I59"/>
    <mergeCell ref="L26:N26"/>
    <mergeCell ref="B36:K36"/>
    <mergeCell ref="L10:N10"/>
    <mergeCell ref="B62:K62"/>
    <mergeCell ref="B23:I23"/>
    <mergeCell ref="B3:N3"/>
    <mergeCell ref="B31:K31"/>
    <mergeCell ref="L36:N36"/>
    <mergeCell ref="B21:K21"/>
    <mergeCell ref="L28:N28"/>
    <mergeCell ref="B13:K13"/>
    <mergeCell ref="AS36:BB36"/>
    <mergeCell ref="L12:N12"/>
    <mergeCell ref="B35:I35"/>
    <mergeCell ref="AG36:AI36"/>
    <mergeCell ref="BC36:BD36"/>
    <mergeCell ref="B63:K63"/>
    <mergeCell ref="O62:T62"/>
    <mergeCell ref="J23:V23"/>
    <mergeCell ref="B25:K25"/>
    <mergeCell ref="O60:T60"/>
    <mergeCell ref="O36:R36"/>
    <mergeCell ref="L27:N27"/>
    <mergeCell ref="B12:K12"/>
    <mergeCell ref="L17:N17"/>
    <mergeCell ref="S36:W36"/>
    <mergeCell ref="B61:K61"/>
    <mergeCell ref="B15:I15"/>
    <mergeCell ref="L19:N19"/>
    <mergeCell ref="B29:K29"/>
    <mergeCell ref="J35:V35"/>
    <mergeCell ref="L30:N30"/>
    <mergeCell ref="B24:K24"/>
    <mergeCell ref="B64:K64"/>
    <mergeCell ref="L20:N20"/>
    <mergeCell ref="B33:K33"/>
    <mergeCell ref="L29:N29"/>
    <mergeCell ref="B32:K32"/>
    <mergeCell ref="B26:K26"/>
    <mergeCell ref="B66:AJ66"/>
    <mergeCell ref="L31:N31"/>
    <mergeCell ref="B7:K7"/>
    <mergeCell ref="O61:T61"/>
    <mergeCell ref="B16:K16"/>
    <mergeCell ref="L6:N6"/>
    <mergeCell ref="L21:N21"/>
    <mergeCell ref="BE36"/>
    <mergeCell ref="B18:K18"/>
    <mergeCell ref="B27:K27"/>
    <mergeCell ref="B11:K11"/>
    <mergeCell ref="J15:V15"/>
    <mergeCell ref="L7:N7"/>
    <mergeCell ref="B60:K60"/>
    <mergeCell ref="L16:N16"/>
    <mergeCell ref="B28:K28"/>
  </mergeCells>
  <conditionalFormatting sqref="L60">
    <cfRule type="expression" priority="1" dxfId="0">
      <formula>L60&gt;20</formula>
    </cfRule>
  </conditionalFormatting>
  <conditionalFormatting sqref="L61">
    <cfRule type="expression" priority="2" dxfId="0">
      <formula>L61&gt;20</formula>
    </cfRule>
  </conditionalFormatting>
  <conditionalFormatting sqref="L62">
    <cfRule type="expression" priority="3" dxfId="0">
      <formula>L62&gt;11</formula>
    </cfRule>
  </conditionalFormatting>
  <conditionalFormatting sqref="L63">
    <cfRule type="expression" priority="4" dxfId="0">
      <formula>L63&gt;9</formula>
    </cfRule>
  </conditionalFormatting>
  <conditionalFormatting sqref="L64">
    <cfRule type="expression" priority="5" dxfId="0">
      <formula>L64&gt;13</formula>
    </cfRule>
  </conditionalFormatting>
  <dataValidations count="6">
    <dataValidation sqref="O38:O57" showDropDown="0" showInputMessage="0" showErrorMessage="0" allowBlank="1" type="list">
      <formula1>"PO - Inspectie (visueel),PO - Inspectie (meten),PO - Preservering,PO - Revisie,PO - Vervanging,PO - Testen,TAO - Revisie,TAO - Vervanging,CO - Reparatie,CO - Vervanging"</formula1>
    </dataValidation>
    <dataValidation sqref="T38:T57" showDropDown="0" showInputMessage="0" showErrorMessage="0" allowBlank="1" type="list">
      <formula1>"d,w,m,j"</formula1>
    </dataValidation>
    <dataValidation sqref="N38:N57" showDropDown="0" showInputMessage="0" showErrorMessage="0" allowBlank="1" type="list">
      <formula1>"J,N"</formula1>
    </dataValidation>
    <dataValidation sqref="P38:P57" showDropDown="0" showInputMessage="0" showErrorMessage="0" allowBlank="1" type="list">
      <formula1>"Ja,Nee"</formula1>
    </dataValidation>
    <dataValidation sqref="U38:W57" showDropDown="0" showInputMessage="0" showErrorMessage="0" allowBlank="1" type="list">
      <formula1>"j"</formula1>
    </dataValidation>
    <dataValidation sqref="AS38:BB57" showDropDown="0" showInputMessage="0" showErrorMessage="0" allowBlank="1" type="list">
      <formula1>"x"</formula1>
    </dataValidation>
  </dataValidations>
  <pageMargins left="0.75" right="0.75" top="1" bottom="1" header="0.5" footer="0.5"/>
  <pageSetup orientation="landscape"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D29"/>
  <sheetViews>
    <sheetView showGridLines="0" tabSelected="1" workbookViewId="0">
      <selection activeCell="A1" sqref="A1"/>
    </sheetView>
  </sheetViews>
  <sheetFormatPr baseColWidth="8" defaultRowHeight="12.75"/>
  <cols>
    <col width="2.57" customWidth="1" style="189" min="1" max="1"/>
    <col width="34" customWidth="1" style="189" min="2" max="2"/>
    <col width="95" customWidth="1" style="189" min="3" max="3"/>
  </cols>
  <sheetData>
    <row r="1"/>
    <row r="2" ht="21" customHeight="1" s="189">
      <c r="B2" s="636" t="inlineStr">
        <is>
          <t>IHCKWANT Fiets — één invoerblad</t>
        </is>
      </c>
    </row>
    <row r="3">
      <c r="B3" s="603" t="inlineStr">
        <is>
          <t>Alle invoer staat op het tabblad Invoer. De rekenmodellen en formules van het model zijn niet gewijzigd.</t>
        </is>
      </c>
    </row>
    <row r="4"/>
    <row r="5" ht="18" customHeight="1" s="189">
      <c r="B5" s="571" t="inlineStr">
        <is>
          <t>Zo is het bestand opgebouwd</t>
        </is>
      </c>
    </row>
    <row r="6" ht="28" customHeight="1" s="189">
      <c r="B6" s="637" t="inlineStr">
        <is>
          <t>Invoer</t>
        </is>
      </c>
      <c r="C6" s="638" t="inlineStr">
        <is>
          <t>Het enige tabblad waarop je typt. Vijf blokken: 1 object en gebruik, 2 uurtarieven, 3 functies, 4 onderhoudsregels (20 regels), 5 controle.</t>
        </is>
      </c>
    </row>
    <row r="7" ht="28" customHeight="1" s="189">
      <c r="B7" s="637" t="inlineStr">
        <is>
          <t>Managementrapportage</t>
        </is>
      </c>
      <c r="C7" s="638" t="inlineStr">
        <is>
          <t>Voorblad voor het management: zes kerncijfers en vier grafieken. Rekent direct mee met wat je op Invoer zet.</t>
        </is>
      </c>
    </row>
    <row r="8" ht="28" customHeight="1" s="189">
      <c r="B8" s="637" t="inlineStr">
        <is>
          <t>PO / TAO / SAO</t>
        </is>
      </c>
      <c r="C8" s="638" t="inlineStr">
        <is>
          <t>De werklijsten. Ze vullen zichzelf: elke regel met "PO -", "TAO -" of "CO -" bij Soort onderhoud komt automatisch op het bijbehorende blad, in de volgorde van Invoer.</t>
        </is>
      </c>
    </row>
    <row r="9" ht="42" customHeight="1" s="189">
      <c r="B9" s="637" t="inlineStr">
        <is>
          <t>Algemeen</t>
        </is>
      </c>
      <c r="C9" s="638" t="inlineStr">
        <is>
          <t>Het rekenblad van het model. De kopgegevens en de regels 18 t/m 37 worden gevuld vanuit Invoer; die cellen zijn beveiligd, zodat de koppeling niet per ongeluk wordt overschreven. De rekenkolommen erachter zijn onveranderd.</t>
        </is>
      </c>
    </row>
    <row r="10" ht="14" customHeight="1" s="189">
      <c r="B10" s="637" t="inlineStr">
        <is>
          <t>Overzicht en Rapportdata</t>
        </is>
      </c>
      <c r="C10" s="638" t="inlineStr">
        <is>
          <t>Resultaten van het model en de rekenbladen achter de grafieken. Hier voer je niets in.</t>
        </is>
      </c>
    </row>
    <row r="11" ht="26" customHeight="1" s="189">
      <c r="B11" s="571" t="inlineStr">
        <is>
          <t>Invullen in vijf stappen</t>
        </is>
      </c>
      <c r="C11" s="489" t="n"/>
    </row>
    <row r="12" ht="28" customHeight="1" s="189">
      <c r="B12" s="637" t="inlineStr">
        <is>
          <t>1. Object en gebruik</t>
        </is>
      </c>
      <c r="C12" s="638" t="inlineStr">
        <is>
          <t>Naam van de beheerder en het object, aantal objecten, aantal per inzet, inzetten per jaar, dagen per inzet, looptijd in jaren en het interval voor groot onderhoud.</t>
        </is>
      </c>
    </row>
    <row r="13" ht="14" customHeight="1" s="189">
      <c r="B13" s="637" t="inlineStr">
        <is>
          <t>2. Uurtarieven</t>
        </is>
      </c>
      <c r="C13" s="638" t="inlineStr">
        <is>
          <t>De zes uurtarieven, in euro per uur. Ze gelden voor alle regels.</t>
        </is>
      </c>
    </row>
    <row r="14" ht="28" customHeight="1" s="189">
      <c r="B14" s="637" t="inlineStr">
        <is>
          <t>3. Functies</t>
        </is>
      </c>
      <c r="C14" s="638" t="inlineStr">
        <is>
          <t>De prestaties waarop je wilt rapporteren, bijvoorbeeld "Fietsen met verlichting". Functies die je niet gebruikt laat je leeg.</t>
        </is>
      </c>
    </row>
    <row r="15" ht="56" customHeight="1" s="189">
      <c r="B15" s="637" t="inlineStr">
        <is>
          <t>4. Onderhoudsregels</t>
        </is>
      </c>
      <c r="C15" s="638" t="inlineStr">
        <is>
          <t>Eén regel per onderhoudsactie op één component. Vul de decompositie (N1 t/m N10), de componentnaam, het aantal en de soort onderhoud uit de keuzelijst. Daarna frequentie en eenheid, uren per partij, kosten per keer, storingsgegevens, tijden, voorraad, het aantal mensen en de functies waaraan de regel bijdraagt (x).</t>
        </is>
      </c>
    </row>
    <row r="16" ht="28" customHeight="1" s="189">
      <c r="B16" s="637" t="inlineStr">
        <is>
          <t>5. Controle</t>
        </is>
      </c>
      <c r="C16" s="638" t="inlineStr">
        <is>
          <t>Hier zie je hoeveel regels je gebruikt en hoeveel er per werkblad beschikbaar zijn. Een rood getal betekent dat niet alle regels op dat werkblad passen.</t>
        </is>
      </c>
    </row>
    <row r="17" ht="26" customHeight="1" s="189">
      <c r="B17" s="571" t="inlineStr">
        <is>
          <t>Goed om te weten</t>
        </is>
      </c>
      <c r="C17" s="489" t="n"/>
    </row>
    <row r="18" ht="28" customHeight="1" s="189">
      <c r="B18" s="637" t="inlineStr">
        <is>
          <t>Ruimte in het bestand</t>
        </is>
      </c>
      <c r="C18" s="638" t="inlineStr">
        <is>
          <t>20 onderhoudsregels, waarvan maximaal 11 periodiek (PO), 9 toestandsafhankelijk (TAO) en 13 correctief (CO). Heb je meer regels nodig, dan breid ik het bestand uit; dat gaat niet met invoegen van rijen.</t>
        </is>
      </c>
    </row>
    <row r="19" ht="28" customHeight="1" s="189">
      <c r="B19" s="637" t="inlineStr">
        <is>
          <t>Regel zonder onderhoudsactie</t>
        </is>
      </c>
      <c r="C19" s="638" t="inlineStr">
        <is>
          <t>Een regel met alleen een component telt mee in de decompositie en in de storingsberekening, maar komt niet op PO, TAO of SAO.</t>
        </is>
      </c>
    </row>
    <row r="20" ht="28" customHeight="1" s="189">
      <c r="B20" s="637" t="inlineStr">
        <is>
          <t>Componentnaam</t>
        </is>
      </c>
      <c r="C20" s="638" t="inlineStr">
        <is>
          <t>Gebruik voor dezelfde component steeds dezelfde naam: de rapportage telt de kosten per naam bij elkaar op.</t>
        </is>
      </c>
    </row>
    <row r="21" ht="14" customHeight="1" s="189">
      <c r="B21" s="637" t="inlineStr">
        <is>
          <t>Herberekenen</t>
        </is>
      </c>
      <c r="C21" s="638" t="inlineStr">
        <is>
          <t>Het bestand rekent automatisch door. Met F9 forceer je een herberekening.</t>
        </is>
      </c>
    </row>
    <row r="22" ht="28" customHeight="1" s="189">
      <c r="B22" s="637" t="inlineStr">
        <is>
          <t>TTO en MJO op het blad PO</t>
        </is>
      </c>
      <c r="C22" s="638" t="inlineStr">
        <is>
          <t>De kolommen "In TTO1?", "In TTO2?" en "In MJO?" blijf je op het tabblad PO zelf zetten. Die formules kijken of de cel echt leeg is en werken daarom niet met een verwijzing naar Invoer.</t>
        </is>
      </c>
    </row>
    <row r="23" ht="28" customHeight="1" s="189">
      <c r="B23" s="637" t="inlineStr">
        <is>
          <t>Bladbeveiliging</t>
        </is>
      </c>
      <c r="C23" s="638" t="inlineStr">
        <is>
          <t>De tabbladen zijn beveiligd zonder wachtwoord: formulecellen zijn beschermd, invoervelden niet. Via Controleren &gt; Blad onbeveiligen haal je de beveiliging weg.</t>
        </is>
      </c>
    </row>
    <row r="24" ht="28" customHeight="1" s="189">
      <c r="B24" s="637" t="inlineStr">
        <is>
          <t>Geen macro’s</t>
        </is>
      </c>
      <c r="C24" s="638" t="inlineStr">
        <is>
          <t>In dit bestand zit geen VBA. Alles werkt met formules, keuzelijsten en Excel zelf, dus het blijft werken als .xlsx.</t>
        </is>
      </c>
    </row>
    <row r="25"/>
    <row r="26"/>
    <row r="27"/>
    <row r="28"/>
    <row r="29"/>
  </sheetData>
  <sheetProtection selectLockedCells="0" selectUnlockedCells="0" sheet="1" objects="1" insertRows="1" insertHyperlinks="1" autoFilter="1" scenarios="1" formatColumns="1" deleteColumns="1" insertColumns="1" pivotTables="1" deleteRows="1" formatCells="1" formatRows="1" sort="1"/>
  <pageMargins left="0.7" right="0.7" top="0.75" bottom="0.75" header="0.3" footer="0.3"/>
  <pageSetup orientation="landscape" paperSize="9"/>
</worksheet>
</file>

<file path=xl/worksheets/sheet4.xml><?xml version="1.0" encoding="utf-8"?>
<worksheet xmlns="http://schemas.openxmlformats.org/spreadsheetml/2006/main">
  <sheetPr codeName="Sheet2">
    <outlinePr summaryBelow="1" summaryRight="1"/>
    <pageSetUpPr/>
  </sheetPr>
  <dimension ref="A1:BC20"/>
  <sheetViews>
    <sheetView showGridLines="0" zoomScale="120" workbookViewId="0">
      <selection activeCell="A7" sqref="A7"/>
    </sheetView>
  </sheetViews>
  <sheetFormatPr baseColWidth="8" defaultColWidth="26.85546875" defaultRowHeight="9"/>
  <cols>
    <col width="2.5703125" customWidth="1" style="443" min="1" max="2"/>
    <col width="2.7109375" customWidth="1" style="443" min="3" max="3"/>
    <col width="2.5703125" customWidth="1" style="443" min="4" max="4"/>
    <col hidden="1" width="2.5703125" customWidth="1" style="443" min="5" max="10"/>
    <col width="17.28515625" bestFit="1" customWidth="1" style="443" min="11" max="11"/>
    <col width="3.5703125" customWidth="1" style="443" min="12" max="12"/>
    <col width="2.7109375" customWidth="1" style="443" min="13" max="15"/>
    <col width="2.5703125" customWidth="1" style="443" min="16" max="16"/>
    <col width="2.7109375" customWidth="1" style="443" min="17" max="18"/>
    <col width="1.7109375" customWidth="1" style="450" min="19" max="19"/>
    <col width="21.42578125" customWidth="1" style="443" min="20" max="20"/>
    <col width="1.7109375" customWidth="1" style="513" min="21" max="21"/>
    <col hidden="1" width="2.7109375" customWidth="1" style="443" min="22" max="22"/>
    <col hidden="1" width="1.7109375" customWidth="1" style="443" min="23" max="23"/>
    <col width="2.7109375" customWidth="1" style="450" min="24" max="25"/>
    <col width="1.7109375" customWidth="1" style="450" min="26" max="26"/>
    <col width="2.7109375" customWidth="1" style="443" min="27" max="27"/>
    <col width="2.7109375" customWidth="1" style="450" min="28" max="29"/>
    <col width="1.85546875" customWidth="1" style="450" min="30" max="30"/>
    <col width="3.140625" bestFit="1" customWidth="1" style="450" min="31" max="31"/>
    <col width="2.7109375" customWidth="1" style="450" min="32" max="32"/>
    <col width="3.140625" customWidth="1" style="450" min="33" max="33"/>
    <col hidden="1" width="3.140625" customWidth="1" style="443" min="34" max="34"/>
    <col hidden="1" width="3.140625" customWidth="1" style="450" min="35" max="35"/>
    <col hidden="1" width="3.140625" customWidth="1" style="443" min="36" max="36"/>
    <col hidden="1" width="1.7109375" customWidth="1" style="450" min="37" max="37"/>
    <col hidden="1" width="2.7109375" customWidth="1" style="450" min="38" max="38"/>
    <col hidden="1" width="1.7109375" customWidth="1" style="450" min="39" max="39"/>
    <col hidden="1" width="2.7109375" customWidth="1" style="450" min="40" max="40"/>
    <col width="1.7109375" customWidth="1" style="398" min="41" max="41"/>
    <col width="2.7109375" customWidth="1" style="286" min="42" max="42"/>
    <col width="2.42578125" customWidth="1" style="450" min="43" max="43"/>
    <col width="5.28515625" customWidth="1" style="443" min="44" max="44"/>
    <col width="1.7109375" customWidth="1" style="286" min="45" max="45"/>
    <col width="2.7109375" customWidth="1" style="286" min="46" max="46"/>
    <col width="1.7109375" customWidth="1" style="286" min="47" max="47"/>
    <col width="32.85546875" customWidth="1" style="286" min="48" max="48"/>
    <col width="1.7109375" customWidth="1" style="286" min="49" max="49"/>
    <col width="2.7109375" customWidth="1" style="286" min="50" max="50"/>
    <col width="5.28515625" customWidth="1" style="443" min="51" max="51"/>
    <col width="2.7109375" customWidth="1" style="286" min="52" max="52"/>
    <col width="5.28515625" customWidth="1" style="443" min="53" max="53"/>
    <col width="2.7109375" customWidth="1" style="286" min="54" max="54"/>
    <col width="5.28515625" customWidth="1" style="443" min="55" max="55"/>
    <col width="42.85546875" customWidth="1" style="286" min="56" max="254"/>
    <col width="0.140625" customWidth="1" style="286" min="255" max="255"/>
    <col width="26.85546875" customWidth="1" style="286" min="256" max="16384"/>
  </cols>
  <sheetData>
    <row r="1" ht="15.75" customHeight="1" s="189">
      <c r="A1" s="380" t="n">
        <v>1</v>
      </c>
      <c r="B1" s="391" t="n"/>
      <c r="C1" s="391">
        <f>Algemeen!R4</f>
        <v/>
      </c>
      <c r="D1" s="391" t="n"/>
      <c r="E1" s="391" t="n"/>
      <c r="F1" s="391" t="n"/>
      <c r="G1" s="391" t="n"/>
      <c r="H1" s="391" t="n"/>
      <c r="I1" s="391" t="n"/>
      <c r="J1" s="391" t="n"/>
      <c r="K1" s="391" t="n"/>
      <c r="L1" s="385" t="n"/>
      <c r="M1" s="391" t="n"/>
      <c r="N1" s="385" t="n"/>
      <c r="O1" s="385" t="n"/>
      <c r="P1" s="385" t="n"/>
      <c r="Q1" s="385" t="n"/>
      <c r="R1" s="385" t="n"/>
      <c r="S1" s="385" t="n"/>
      <c r="T1" s="383" t="inlineStr">
        <is>
          <t>Periodieke onderhoudstaken</t>
        </is>
      </c>
      <c r="U1" s="385" t="n"/>
      <c r="V1" s="384" t="n"/>
      <c r="W1" s="385" t="n"/>
      <c r="X1" s="514" t="n"/>
      <c r="Y1" s="387" t="n"/>
      <c r="Z1" s="387" t="n"/>
      <c r="AA1" s="388" t="n"/>
      <c r="AB1" s="388" t="n"/>
      <c r="AC1" s="389" t="n"/>
      <c r="AD1" s="385" t="n"/>
      <c r="AE1" s="389" t="n"/>
      <c r="AF1" s="389" t="n"/>
      <c r="AG1" s="389" t="n"/>
      <c r="AH1" s="389" t="n"/>
      <c r="AI1" s="389" t="n"/>
      <c r="AJ1" s="389" t="n"/>
      <c r="AK1" s="385" t="n"/>
      <c r="AL1" s="389" t="n"/>
      <c r="AM1" s="385" t="n"/>
      <c r="AN1" s="389" t="n"/>
      <c r="AO1" s="389" t="n"/>
      <c r="AP1" s="390" t="n"/>
      <c r="AQ1" s="391" t="n"/>
      <c r="AR1" s="391" t="n"/>
      <c r="AS1" s="388" t="n"/>
      <c r="AT1" s="389" t="n"/>
      <c r="AU1" s="389" t="n"/>
      <c r="AV1" s="392" t="inlineStr">
        <is>
          <t>Periodieke onderhoudstaken</t>
        </is>
      </c>
      <c r="AX1" s="389" t="n"/>
      <c r="AY1" s="391" t="n"/>
      <c r="AZ1" s="389" t="n"/>
      <c r="BA1" s="391" t="n"/>
      <c r="BB1" s="389" t="n"/>
      <c r="BC1" s="391" t="n"/>
    </row>
    <row r="2">
      <c r="A2" s="396" t="n"/>
      <c r="B2" s="396" t="n"/>
      <c r="C2" s="396" t="n"/>
      <c r="D2" s="396" t="n"/>
      <c r="E2" s="396" t="n"/>
      <c r="F2" s="396" t="n"/>
      <c r="G2" s="396" t="n"/>
      <c r="H2" s="396" t="n"/>
      <c r="I2" s="396" t="n"/>
      <c r="J2" s="396" t="n"/>
      <c r="K2" s="396" t="n"/>
      <c r="M2" s="450" t="n"/>
      <c r="S2" s="443" t="n"/>
      <c r="T2" s="443" t="n"/>
      <c r="U2" s="443" t="n"/>
      <c r="V2" s="450" t="n"/>
      <c r="X2" s="513" t="n"/>
      <c r="Y2" s="396" t="n"/>
      <c r="Z2" s="396" t="n"/>
      <c r="AA2" s="397" t="n"/>
      <c r="AB2" s="397" t="n"/>
      <c r="AD2" s="443" t="n"/>
      <c r="AH2" s="450" t="n"/>
      <c r="AJ2" s="450" t="n"/>
      <c r="AK2" s="443" t="n"/>
      <c r="AM2" s="443" t="n"/>
      <c r="AO2" s="450" t="n"/>
      <c r="AP2" s="450" t="n"/>
      <c r="AR2" s="398" t="n"/>
      <c r="AT2" s="450" t="n"/>
      <c r="AU2" s="443" t="n"/>
      <c r="AX2" s="450" t="n"/>
      <c r="AY2" s="398" t="n"/>
      <c r="AZ2" s="450" t="n"/>
      <c r="BA2" s="398" t="n"/>
      <c r="BB2" s="450" t="n"/>
      <c r="BC2" s="398" t="n"/>
    </row>
    <row r="3" ht="12.75" customHeight="1" s="189">
      <c r="A3" s="251" t="n"/>
      <c r="B3" s="252" t="n"/>
      <c r="C3" s="252" t="n"/>
      <c r="D3" s="252" t="n"/>
      <c r="E3" s="252" t="n"/>
      <c r="F3" s="252" t="n"/>
      <c r="G3" s="252" t="n"/>
      <c r="H3" s="252" t="n"/>
      <c r="I3" s="252" t="n"/>
      <c r="J3" s="252" t="n"/>
      <c r="K3" s="253" t="n"/>
      <c r="L3" s="255" t="n"/>
      <c r="M3" s="271" t="inlineStr">
        <is>
          <t xml:space="preserve">Onderhoudsaktie </t>
        </is>
      </c>
      <c r="N3" s="271" t="n"/>
      <c r="O3" s="271" t="n"/>
      <c r="P3" s="271" t="n"/>
      <c r="Q3" s="271" t="n"/>
      <c r="R3" s="399" t="n"/>
      <c r="S3" s="396" t="n"/>
      <c r="T3" s="265" t="n"/>
      <c r="U3" s="396" t="n"/>
      <c r="V3" s="267" t="n"/>
      <c r="X3" s="400" t="inlineStr">
        <is>
          <t>Interv.</t>
        </is>
      </c>
      <c r="Y3" s="401" t="n"/>
      <c r="Z3" s="274" t="n"/>
      <c r="AA3" s="400" t="inlineStr">
        <is>
          <t>Uitvoering</t>
        </is>
      </c>
      <c r="AB3" s="402" t="n"/>
      <c r="AC3" s="401" t="n"/>
      <c r="AD3" s="274" t="n"/>
      <c r="AE3" s="271" t="inlineStr">
        <is>
          <t>tijd (uur)</t>
        </is>
      </c>
      <c r="AF3" s="272" t="n"/>
      <c r="AG3" s="272" t="n"/>
      <c r="AH3" s="272" t="n"/>
      <c r="AI3" s="272" t="n"/>
      <c r="AJ3" s="273" t="n"/>
      <c r="AK3" s="443" t="n"/>
      <c r="AL3" s="255" t="n"/>
      <c r="AM3" s="443" t="n"/>
      <c r="AN3" s="255" t="n"/>
      <c r="AO3" s="450" t="n"/>
      <c r="AP3" s="255" t="n"/>
      <c r="AR3" s="283" t="n"/>
      <c r="AT3" s="255" t="n"/>
      <c r="AU3" s="443" t="n"/>
      <c r="AV3" s="298" t="n"/>
      <c r="AX3" s="255" t="n"/>
      <c r="AY3" s="283" t="n"/>
      <c r="AZ3" s="255" t="n"/>
      <c r="BA3" s="283" t="n"/>
      <c r="BB3" s="255" t="n"/>
      <c r="BC3" s="283" t="n"/>
    </row>
    <row r="4" ht="121.5" customHeight="1" s="189">
      <c r="A4" s="639" t="inlineStr">
        <is>
          <t>Deze lijst vult zichzelf vanuit het tabblad Invoer</t>
        </is>
      </c>
      <c r="B4" s="303" t="n"/>
      <c r="C4" s="303" t="n"/>
      <c r="D4" s="303" t="n"/>
      <c r="E4" s="303" t="n"/>
      <c r="F4" s="303" t="n"/>
      <c r="G4" s="303" t="n"/>
      <c r="H4" s="303" t="n"/>
      <c r="I4" s="303" t="n"/>
      <c r="J4" s="303" t="n"/>
      <c r="K4" s="304" t="inlineStr">
        <is>
          <t>Fysieke decompositie</t>
        </is>
      </c>
      <c r="L4" s="403" t="inlineStr">
        <is>
          <t xml:space="preserve">Vermenigvuldigingsfactor onderhoudsactie </t>
        </is>
      </c>
      <c r="M4" s="404" t="inlineStr">
        <is>
          <t>Inspectie (visueel)</t>
        </is>
      </c>
      <c r="N4" s="404" t="inlineStr">
        <is>
          <t>Inspectie (Meten)</t>
        </is>
      </c>
      <c r="O4" s="405" t="inlineStr">
        <is>
          <t>Preservering</t>
        </is>
      </c>
      <c r="P4" s="404" t="inlineStr">
        <is>
          <t>Revisie</t>
        </is>
      </c>
      <c r="Q4" s="404" t="inlineStr">
        <is>
          <t xml:space="preserve">Vervanging </t>
        </is>
      </c>
      <c r="R4" s="405" t="inlineStr">
        <is>
          <t>Testen</t>
        </is>
      </c>
      <c r="S4" s="119" t="n"/>
      <c r="T4" s="406" t="inlineStr">
        <is>
          <t>Omschrijving</t>
        </is>
      </c>
      <c r="U4" s="119" t="n"/>
      <c r="V4" s="309" t="inlineStr">
        <is>
          <t>Taak-ID</t>
        </is>
      </c>
      <c r="X4" s="515" t="inlineStr">
        <is>
          <t>periodiciteit taak</t>
        </is>
      </c>
      <c r="Y4" s="306" t="inlineStr">
        <is>
          <t>d / w / m / j</t>
        </is>
      </c>
      <c r="Z4" s="408" t="n"/>
      <c r="AA4" s="312" t="inlineStr">
        <is>
          <t>Voor verhuur</t>
        </is>
      </c>
      <c r="AB4" s="313" t="inlineStr">
        <is>
          <t>Tijdens fietstocht</t>
        </is>
      </c>
      <c r="AC4" s="313" t="inlineStr">
        <is>
          <t>Alleen in groot onderhoud</t>
        </is>
      </c>
      <c r="AD4" s="408" t="n"/>
      <c r="AE4" s="313" t="inlineStr">
        <is>
          <t>Verhuurder</t>
        </is>
      </c>
      <c r="AF4" s="313" t="inlineStr">
        <is>
          <t>Huurder</t>
        </is>
      </c>
      <c r="AG4" s="313" t="inlineStr">
        <is>
          <t>Monteur</t>
        </is>
      </c>
      <c r="AH4" s="313">
        <f>Algemeen!AS13</f>
        <v/>
      </c>
      <c r="AI4" s="313">
        <f>Algemeen!AT13</f>
        <v/>
      </c>
      <c r="AJ4" s="313">
        <f>Algemeen!AU13</f>
        <v/>
      </c>
      <c r="AK4" s="443" t="n"/>
      <c r="AL4" s="309" t="inlineStr">
        <is>
          <t># man</t>
        </is>
      </c>
      <c r="AM4" s="443" t="n"/>
      <c r="AN4" s="309" t="inlineStr">
        <is>
          <t># man</t>
        </is>
      </c>
      <c r="AO4" s="450" t="n"/>
      <c r="AP4" s="309" t="inlineStr">
        <is>
          <t>Vaste kosten</t>
        </is>
      </c>
      <c r="AQ4" s="316" t="n"/>
      <c r="AR4" s="322" t="inlineStr">
        <is>
          <t>OH-kosten per jaar</t>
        </is>
      </c>
      <c r="AT4" s="309" t="inlineStr">
        <is>
          <t>Doorlooptijd (uur)</t>
        </is>
      </c>
      <c r="AU4" s="443" t="n"/>
      <c r="AV4" s="332" t="inlineStr">
        <is>
          <t>Opmerkingen</t>
        </is>
      </c>
      <c r="AX4" s="309" t="inlineStr">
        <is>
          <t>In TTO1? (x)</t>
        </is>
      </c>
      <c r="AY4" s="322" t="inlineStr">
        <is>
          <t>OH-kosten TTO1</t>
        </is>
      </c>
      <c r="AZ4" s="309" t="inlineStr">
        <is>
          <t>In TTO2?</t>
        </is>
      </c>
      <c r="BA4" s="322" t="inlineStr">
        <is>
          <t>OH-kosten TTO2</t>
        </is>
      </c>
      <c r="BB4" s="309" t="inlineStr">
        <is>
          <t>In MJO?</t>
        </is>
      </c>
      <c r="BC4" s="322" t="inlineStr">
        <is>
          <t>OH-kosten MJO</t>
        </is>
      </c>
    </row>
    <row r="5" ht="12.75" customHeight="1" s="189">
      <c r="M5" s="450" t="n"/>
      <c r="Q5" s="443" t="n"/>
      <c r="S5" s="443" t="n"/>
      <c r="U5" s="443" t="n"/>
      <c r="V5" s="450" t="n"/>
      <c r="X5" s="513" t="n"/>
      <c r="Y5" s="443" t="n"/>
      <c r="AA5" s="450" t="n"/>
      <c r="AE5" s="419">
        <f>uurtarief_wd</f>
        <v/>
      </c>
      <c r="AF5" s="419" t="n">
        <v>100</v>
      </c>
      <c r="AG5" s="419" t="n">
        <v>50</v>
      </c>
      <c r="AH5" s="419" t="n">
        <v>100</v>
      </c>
      <c r="AI5" s="419" t="n">
        <v>100</v>
      </c>
      <c r="AJ5" s="419" t="n">
        <v>100</v>
      </c>
      <c r="AK5" s="443" t="n"/>
      <c r="AM5" s="443" t="n"/>
      <c r="AO5" s="450" t="n"/>
      <c r="AP5" s="450" t="n"/>
      <c r="AR5" s="141" t="n"/>
      <c r="AS5" s="451" t="n"/>
      <c r="AT5" s="450" t="n"/>
      <c r="AU5" s="443" t="n"/>
      <c r="AX5" s="450" t="n"/>
      <c r="AY5" s="141" t="n"/>
      <c r="AZ5" s="450" t="n"/>
      <c r="BA5" s="141" t="n"/>
      <c r="BB5" s="450" t="n"/>
      <c r="BC5" s="141" t="n"/>
    </row>
    <row r="6" ht="10.5" customHeight="1" s="189">
      <c r="A6" s="411" t="n"/>
      <c r="B6" s="411" t="n"/>
      <c r="C6" s="411" t="n"/>
      <c r="D6" s="411" t="n"/>
      <c r="E6" s="411" t="n"/>
      <c r="F6" s="411" t="n"/>
      <c r="G6" s="411" t="n"/>
      <c r="H6" s="411" t="n"/>
      <c r="I6" s="411" t="n"/>
      <c r="J6" s="411" t="n"/>
      <c r="K6" s="411" t="n"/>
      <c r="M6" s="450" t="n"/>
      <c r="S6" s="443" t="n"/>
      <c r="T6" s="443" t="n"/>
      <c r="U6" s="443" t="n"/>
      <c r="V6" s="450" t="n"/>
      <c r="X6" s="513" t="n"/>
      <c r="Y6" s="443" t="n"/>
      <c r="AA6" s="450" t="n"/>
      <c r="AH6" s="450" t="n"/>
      <c r="AJ6" s="450" t="n"/>
      <c r="AK6" s="443" t="n"/>
      <c r="AM6" s="443" t="n"/>
      <c r="AO6" s="450" t="n"/>
      <c r="AP6" s="450" t="n"/>
      <c r="AR6" s="398" t="n"/>
      <c r="AT6" s="450" t="n"/>
      <c r="AU6" s="443" t="n"/>
      <c r="AX6" s="450" t="n"/>
      <c r="AY6" s="398" t="n"/>
      <c r="AZ6" s="450" t="n"/>
      <c r="BA6" s="398" t="n"/>
      <c r="BB6" s="450" t="n"/>
      <c r="BC6" s="398" t="n"/>
    </row>
    <row r="7" ht="9.949999999999999" customHeight="1" s="189">
      <c r="A7" s="640">
        <f>IFERROR(N(INDEX(Invoer!$B$38:$B$57,MATCH(1,Invoer!$BG$38:$BG$57,0))),0)</f>
        <v/>
      </c>
      <c r="B7" s="641">
        <f>IFERROR(N(INDEX(Invoer!$C$38:$C$57,MATCH(1,Invoer!$BG$38:$BG$57,0))),0)</f>
        <v/>
      </c>
      <c r="C7" s="641">
        <f>IFERROR(N(INDEX(Invoer!$D$38:$D$57,MATCH(1,Invoer!$BG$38:$BG$57,0))),0)</f>
        <v/>
      </c>
      <c r="D7" s="641">
        <f>IFERROR(N(INDEX(Invoer!$E$38:$E$57,MATCH(1,Invoer!$BG$38:$BG$57,0))),0)</f>
        <v/>
      </c>
      <c r="E7" s="641">
        <f>IFERROR(N(INDEX(Invoer!$F$38:$F$57,MATCH(1,Invoer!$BG$38:$BG$57,0))),0)</f>
        <v/>
      </c>
      <c r="F7" s="641">
        <f>IFERROR(N(INDEX(Invoer!$G$38:$G$57,MATCH(1,Invoer!$BG$38:$BG$57,0))),0)</f>
        <v/>
      </c>
      <c r="G7" s="641">
        <f>IFERROR(N(INDEX(Invoer!$H$38:$H$57,MATCH(1,Invoer!$BG$38:$BG$57,0))),0)</f>
        <v/>
      </c>
      <c r="H7" s="641">
        <f>IFERROR(N(INDEX(Invoer!$I$38:$I$57,MATCH(1,Invoer!$BG$38:$BG$57,0))),0)</f>
        <v/>
      </c>
      <c r="I7" s="641">
        <f>IFERROR(N(INDEX(Invoer!$J$38:$J$57,MATCH(1,Invoer!$BG$38:$BG$57,0))),0)</f>
        <v/>
      </c>
      <c r="J7" s="641">
        <f>IFERROR(N(INDEX(Invoer!$K$38:$K$57,MATCH(1,Invoer!$BG$38:$BG$57,0))),0)</f>
        <v/>
      </c>
      <c r="K7" s="414">
        <f>IFERROR(IF(INDEX(Invoer!$L$38:$L$57,MATCH(1,Invoer!$BG$38:$BG$57,0))="","",INDEX(Invoer!$L$38:$L$57,MATCH(1,Invoer!$BG$38:$BG$57,0))),"")</f>
        <v/>
      </c>
      <c r="L7" s="642">
        <f>IFERROR(N(INDEX(Invoer!$M$38:$M$57,MATCH(1,Invoer!$BG$38:$BG$57,0))),0)</f>
        <v/>
      </c>
      <c r="M7" s="419">
        <f>IFERROR(IF(INDEX(Invoer!$BK$38:$BK$57,MATCH(1,Invoer!$BG$38:$BG$57,0))="","",INDEX(Invoer!$BK$38:$BK$57,MATCH(1,Invoer!$BG$38:$BG$57,0))),"")</f>
        <v/>
      </c>
      <c r="N7" s="419">
        <f>IFERROR(IF(INDEX(Invoer!$BL$38:$BL$57,MATCH(1,Invoer!$BG$38:$BG$57,0))="","",INDEX(Invoer!$BL$38:$BL$57,MATCH(1,Invoer!$BG$38:$BG$57,0))),"")</f>
        <v/>
      </c>
      <c r="O7" s="419">
        <f>IFERROR(IF(INDEX(Invoer!$BM$38:$BM$57,MATCH(1,Invoer!$BG$38:$BG$57,0))="","",INDEX(Invoer!$BM$38:$BM$57,MATCH(1,Invoer!$BG$38:$BG$57,0))),"")</f>
        <v/>
      </c>
      <c r="P7" s="419">
        <f>IFERROR(IF(INDEX(Invoer!$BN$38:$BN$57,MATCH(1,Invoer!$BG$38:$BG$57,0))="","",INDEX(Invoer!$BN$38:$BN$57,MATCH(1,Invoer!$BG$38:$BG$57,0))),"")</f>
        <v/>
      </c>
      <c r="Q7" s="419">
        <f>IFERROR(IF(INDEX(Invoer!$BO$38:$BO$57,MATCH(1,Invoer!$BG$38:$BG$57,0))="","",INDEX(Invoer!$BO$38:$BO$57,MATCH(1,Invoer!$BG$38:$BG$57,0))),"")</f>
        <v/>
      </c>
      <c r="R7" s="419">
        <f>IFERROR(IF(INDEX(Invoer!$BP$38:$BP$57,MATCH(1,Invoer!$BG$38:$BG$57,0))="","",INDEX(Invoer!$BP$38:$BP$57,MATCH(1,Invoer!$BG$38:$BG$57,0))),"")</f>
        <v/>
      </c>
      <c r="S7" s="450" t="n"/>
      <c r="T7" s="416">
        <f>IFERROR(IF(INDEX(Invoer!$Q$38:$Q$57,MATCH(1,Invoer!$BG$38:$BG$57,0))="","",INDEX(Invoer!$Q$38:$Q$57,MATCH(1,Invoer!$BG$38:$BG$57,0))),"")</f>
        <v/>
      </c>
      <c r="U7" s="450" t="n"/>
      <c r="V7" s="419">
        <f>IFERROR(IF(INDEX(Invoer!$R$38:$R$57,MATCH(1,Invoer!$BG$38:$BG$57,0))="","",INDEX(Invoer!$R$38:$R$57,MATCH(1,Invoer!$BG$38:$BG$57,0))),"")</f>
        <v/>
      </c>
      <c r="W7" s="450" t="n"/>
      <c r="X7" s="417">
        <f>IFERROR(IF(N(INDEX(Invoer!$BV$38:$BV$57,MATCH(1,Invoer!$BG$38:$BG$57,0)))=0,"",INDEX(Invoer!$BV$38:$BV$57,MATCH(1,Invoer!$BG$38:$BG$57,0))),"")</f>
        <v/>
      </c>
      <c r="Y7" s="419">
        <f>IFERROR(IF(INDEX(Invoer!$T$38:$T$57,MATCH(1,Invoer!$BG$38:$BG$57,0))="","",INDEX(Invoer!$T$38:$T$57,MATCH(1,Invoer!$BG$38:$BG$57,0))),"")</f>
        <v/>
      </c>
      <c r="AA7" s="419">
        <f>IFERROR(IF(INDEX(Invoer!$U$38:$U$57,MATCH(1,Invoer!$BG$38:$BG$57,0))="","",INDEX(Invoer!$U$38:$U$57,MATCH(1,Invoer!$BG$38:$BG$57,0))),"")</f>
        <v/>
      </c>
      <c r="AB7" s="419">
        <f>IFERROR(IF(INDEX(Invoer!$V$38:$V$57,MATCH(1,Invoer!$BG$38:$BG$57,0))="","",INDEX(Invoer!$V$38:$V$57,MATCH(1,Invoer!$BG$38:$BG$57,0))),"")</f>
        <v/>
      </c>
      <c r="AC7" s="419">
        <f>IFERROR(IF(INDEX(Invoer!$W$38:$W$57,MATCH(1,Invoer!$BG$38:$BG$57,0))="","",INDEX(Invoer!$W$38:$W$57,MATCH(1,Invoer!$BG$38:$BG$57,0))),"")</f>
        <v/>
      </c>
      <c r="AE7" s="642">
        <f>IFERROR(N(INDEX(Invoer!$X$38:$X$57,MATCH(1,Invoer!$BG$38:$BG$57,0))),0)</f>
        <v/>
      </c>
      <c r="AF7" s="642">
        <f>IFERROR(N(INDEX(Invoer!$Y$38:$Y$57,MATCH(1,Invoer!$BG$38:$BG$57,0))),0)</f>
        <v/>
      </c>
      <c r="AG7" s="642">
        <f>IFERROR(N(INDEX(Invoer!$Z$38:$Z$57,MATCH(1,Invoer!$BG$38:$BG$57,0))),0)</f>
        <v/>
      </c>
      <c r="AH7" s="642">
        <f>IFERROR(N(INDEX(Invoer!$AA$38:$AA$57,MATCH(1,Invoer!$BG$38:$BG$57,0))),0)</f>
        <v/>
      </c>
      <c r="AI7" s="642">
        <f>IFERROR(N(INDEX(Invoer!$AB$38:$AB$57,MATCH(1,Invoer!$BG$38:$BG$57,0))),0)</f>
        <v/>
      </c>
      <c r="AJ7" s="642">
        <f>IFERROR(N(INDEX(Invoer!$AC$38:$AC$57,MATCH(1,Invoer!$BG$38:$BG$57,0))),0)</f>
        <v/>
      </c>
      <c r="AL7" s="642">
        <f>IFERROR(N(INDEX(Invoer!$BC$38:$BC$57,MATCH(1,Invoer!$BG$38:$BG$57,0))),0)</f>
        <v/>
      </c>
      <c r="AN7" s="642">
        <f>IFERROR(N(INDEX(Invoer!$BD$38:$BD$57,MATCH(1,Invoer!$BG$38:$BG$57,0))),0)</f>
        <v/>
      </c>
      <c r="AO7" s="450" t="n"/>
      <c r="AP7" s="642">
        <f>IFERROR(N(INDEX(Invoer!$AD$38:$AD$57,MATCH(1,Invoer!$BG$38:$BG$57,0))),0)</f>
        <v/>
      </c>
      <c r="AR7" s="418">
        <f>(IF(X7&lt;&gt;"",(utwd*(IF(ISNUMBER(AE7),AE7,0))+uttd*(IF(ISNUMBER(AF7),AF7,0))+utsb*(IF(ISNUMBER(AG7),AG7,0))+utrw*(IF(ISNUMBER(AH7),AH7,0))+utd*(IF(ISNUMBER(AI7),AI7,0))+_ut3*(IF(ISNUMBER(AJ7),AJ7,0)) +(IF(ISNUMBER(AP7),AP7,0)))*(IF(Y7="j",1,IF(Y7="m",12,IF(Y7="w",52,IF(Y7="d",365,0)))))/X7,0))*L7</f>
        <v/>
      </c>
      <c r="AT7" s="642">
        <f>IFERROR(N(INDEX(Invoer!$AJ$38:$AJ$57,MATCH(1,Invoer!$BG$38:$BG$57,0))),0)</f>
        <v/>
      </c>
      <c r="AU7" s="450" t="n"/>
      <c r="AV7" s="420">
        <f>IFERROR(IF(INDEX(Invoer!$BE$38:$BE$57,MATCH(1,Invoer!$BG$38:$BG$57,0))="","",INDEX(Invoer!$BE$38:$BE$57,MATCH(1,Invoer!$BG$38:$BG$57,0))),"")</f>
        <v/>
      </c>
      <c r="AX7" s="519" t="n"/>
      <c r="AY7" s="418">
        <f>IF(ISBLANK(AX7),0,(IF(X7&lt;&gt;"",(utwd*(IF(ISNUMBER(AE7),AE7,0))+uttd*(IF(ISNUMBER(AF7),AF7,0))+utsb*(IF(ISNUMBER(AG7),AG7,0))+utrw*(IF(ISNUMBER(AH7),AH7,0))+utd*(IF(ISNUMBER(AI7),AI7,0))+_ut3*(IF(ISNUMBER(AJ7),AJ7,0)) +(IF(ISNUMBER(AP7),AP7,0))),0))*L7)</f>
        <v/>
      </c>
      <c r="AZ7" s="519" t="n"/>
      <c r="BA7" s="418">
        <f>IF(ISBLANK(AZ7),0,(IF(X7&lt;&gt;"",(utwd*(IF(ISNUMBER(AE7),AE7,0))+uttd*(IF(ISNUMBER(AF7),AF7,0))+utsb*(IF(ISNUMBER(AG7),AG7,0))+utrw*(IF(ISNUMBER(AH7),AH7,0))+utd*(IF(ISNUMBER(AI7),AI7,0))+_ut3*(IF(ISNUMBER(AJ7),AJ7,0)) +(IF(ISNUMBER(AP7),AP7,0))),0))*L7)</f>
        <v/>
      </c>
      <c r="BB7" s="519" t="n"/>
      <c r="BC7" s="418">
        <f>IF(ISBLANK(BB7),0,(IF(X7&lt;&gt;"",(utwd*(IF(ISNUMBER(AE7),AE7,0))+uttd*(IF(ISNUMBER(AF7),AF7,0))+utsb*(IF(ISNUMBER(AG7),AG7,0))+utrw*(IF(ISNUMBER(AH7),AH7,0))+utd*(IF(ISNUMBER(AI7),AI7,0))+_ut3*(IF(ISNUMBER(AJ7),AJ7,0)) +(IF(ISNUMBER(AP7),AP7,0))),0))*L7)</f>
        <v/>
      </c>
    </row>
    <row r="8" ht="9.949999999999999" customHeight="1" s="189">
      <c r="A8" s="640">
        <f>IFERROR(N(INDEX(Invoer!$B$38:$B$57,MATCH(2,Invoer!$BG$38:$BG$57,0))),0)</f>
        <v/>
      </c>
      <c r="B8" s="640">
        <f>IFERROR(N(INDEX(Invoer!$C$38:$C$57,MATCH(2,Invoer!$BG$38:$BG$57,0))),0)</f>
        <v/>
      </c>
      <c r="C8" s="641">
        <f>IFERROR(N(INDEX(Invoer!$D$38:$D$57,MATCH(2,Invoer!$BG$38:$BG$57,0))),0)</f>
        <v/>
      </c>
      <c r="D8" s="640">
        <f>IFERROR(N(INDEX(Invoer!$E$38:$E$57,MATCH(2,Invoer!$BG$38:$BG$57,0))),0)</f>
        <v/>
      </c>
      <c r="E8" s="640">
        <f>IFERROR(N(INDEX(Invoer!$F$38:$F$57,MATCH(2,Invoer!$BG$38:$BG$57,0))),0)</f>
        <v/>
      </c>
      <c r="F8" s="640">
        <f>IFERROR(N(INDEX(Invoer!$G$38:$G$57,MATCH(2,Invoer!$BG$38:$BG$57,0))),0)</f>
        <v/>
      </c>
      <c r="G8" s="640">
        <f>IFERROR(N(INDEX(Invoer!$H$38:$H$57,MATCH(2,Invoer!$BG$38:$BG$57,0))),0)</f>
        <v/>
      </c>
      <c r="H8" s="640">
        <f>IFERROR(N(INDEX(Invoer!$I$38:$I$57,MATCH(2,Invoer!$BG$38:$BG$57,0))),0)</f>
        <v/>
      </c>
      <c r="I8" s="640">
        <f>IFERROR(N(INDEX(Invoer!$J$38:$J$57,MATCH(2,Invoer!$BG$38:$BG$57,0))),0)</f>
        <v/>
      </c>
      <c r="J8" s="640">
        <f>IFERROR(N(INDEX(Invoer!$K$38:$K$57,MATCH(2,Invoer!$BG$38:$BG$57,0))),0)</f>
        <v/>
      </c>
      <c r="K8" s="414">
        <f>IFERROR(IF(INDEX(Invoer!$L$38:$L$57,MATCH(2,Invoer!$BG$38:$BG$57,0))="","",INDEX(Invoer!$L$38:$L$57,MATCH(2,Invoer!$BG$38:$BG$57,0))),"")</f>
        <v/>
      </c>
      <c r="L8" s="642">
        <f>IFERROR(N(INDEX(Invoer!$M$38:$M$57,MATCH(2,Invoer!$BG$38:$BG$57,0))),0)</f>
        <v/>
      </c>
      <c r="M8" s="419">
        <f>IFERROR(IF(INDEX(Invoer!$BK$38:$BK$57,MATCH(2,Invoer!$BG$38:$BG$57,0))="","",INDEX(Invoer!$BK$38:$BK$57,MATCH(2,Invoer!$BG$38:$BG$57,0))),"")</f>
        <v/>
      </c>
      <c r="N8" s="419">
        <f>IFERROR(IF(INDEX(Invoer!$BL$38:$BL$57,MATCH(2,Invoer!$BG$38:$BG$57,0))="","",INDEX(Invoer!$BL$38:$BL$57,MATCH(2,Invoer!$BG$38:$BG$57,0))),"")</f>
        <v/>
      </c>
      <c r="O8" s="419">
        <f>IFERROR(IF(INDEX(Invoer!$BM$38:$BM$57,MATCH(2,Invoer!$BG$38:$BG$57,0))="","",INDEX(Invoer!$BM$38:$BM$57,MATCH(2,Invoer!$BG$38:$BG$57,0))),"")</f>
        <v/>
      </c>
      <c r="P8" s="419">
        <f>IFERROR(IF(INDEX(Invoer!$BN$38:$BN$57,MATCH(2,Invoer!$BG$38:$BG$57,0))="","",INDEX(Invoer!$BN$38:$BN$57,MATCH(2,Invoer!$BG$38:$BG$57,0))),"")</f>
        <v/>
      </c>
      <c r="Q8" s="419">
        <f>IFERROR(IF(INDEX(Invoer!$BO$38:$BO$57,MATCH(2,Invoer!$BG$38:$BG$57,0))="","",INDEX(Invoer!$BO$38:$BO$57,MATCH(2,Invoer!$BG$38:$BG$57,0))),"")</f>
        <v/>
      </c>
      <c r="R8" s="419">
        <f>IFERROR(IF(INDEX(Invoer!$BP$38:$BP$57,MATCH(2,Invoer!$BG$38:$BG$57,0))="","",INDEX(Invoer!$BP$38:$BP$57,MATCH(2,Invoer!$BG$38:$BG$57,0))),"")</f>
        <v/>
      </c>
      <c r="S8" s="450" t="n"/>
      <c r="T8" s="421">
        <f>IFERROR(IF(INDEX(Invoer!$Q$38:$Q$57,MATCH(2,Invoer!$BG$38:$BG$57,0))="","",INDEX(Invoer!$Q$38:$Q$57,MATCH(2,Invoer!$BG$38:$BG$57,0))),"")</f>
        <v/>
      </c>
      <c r="U8" s="450" t="n"/>
      <c r="V8" s="419">
        <f>IFERROR(IF(INDEX(Invoer!$R$38:$R$57,MATCH(2,Invoer!$BG$38:$BG$57,0))="","",INDEX(Invoer!$R$38:$R$57,MATCH(2,Invoer!$BG$38:$BG$57,0))),"")</f>
        <v/>
      </c>
      <c r="W8" s="450" t="n"/>
      <c r="X8" s="417">
        <f>IFERROR(IF(N(INDEX(Invoer!$BV$38:$BV$57,MATCH(2,Invoer!$BG$38:$BG$57,0)))=0,"",INDEX(Invoer!$BV$38:$BV$57,MATCH(2,Invoer!$BG$38:$BG$57,0))),"")</f>
        <v/>
      </c>
      <c r="Y8" s="419">
        <f>IFERROR(IF(INDEX(Invoer!$T$38:$T$57,MATCH(2,Invoer!$BG$38:$BG$57,0))="","",INDEX(Invoer!$T$38:$T$57,MATCH(2,Invoer!$BG$38:$BG$57,0))),"")</f>
        <v/>
      </c>
      <c r="AA8" s="419">
        <f>IFERROR(IF(INDEX(Invoer!$U$38:$U$57,MATCH(2,Invoer!$BG$38:$BG$57,0))="","",INDEX(Invoer!$U$38:$U$57,MATCH(2,Invoer!$BG$38:$BG$57,0))),"")</f>
        <v/>
      </c>
      <c r="AB8" s="419">
        <f>IFERROR(IF(INDEX(Invoer!$V$38:$V$57,MATCH(2,Invoer!$BG$38:$BG$57,0))="","",INDEX(Invoer!$V$38:$V$57,MATCH(2,Invoer!$BG$38:$BG$57,0))),"")</f>
        <v/>
      </c>
      <c r="AC8" s="419">
        <f>IFERROR(IF(INDEX(Invoer!$W$38:$W$57,MATCH(2,Invoer!$BG$38:$BG$57,0))="","",INDEX(Invoer!$W$38:$W$57,MATCH(2,Invoer!$BG$38:$BG$57,0))),"")</f>
        <v/>
      </c>
      <c r="AE8" s="642">
        <f>IFERROR(N(INDEX(Invoer!$X$38:$X$57,MATCH(2,Invoer!$BG$38:$BG$57,0))),0)</f>
        <v/>
      </c>
      <c r="AF8" s="642">
        <f>IFERROR(N(INDEX(Invoer!$Y$38:$Y$57,MATCH(2,Invoer!$BG$38:$BG$57,0))),0)</f>
        <v/>
      </c>
      <c r="AG8" s="642">
        <f>IFERROR(N(INDEX(Invoer!$Z$38:$Z$57,MATCH(2,Invoer!$BG$38:$BG$57,0))),0)</f>
        <v/>
      </c>
      <c r="AH8" s="642">
        <f>IFERROR(N(INDEX(Invoer!$AA$38:$AA$57,MATCH(2,Invoer!$BG$38:$BG$57,0))),0)</f>
        <v/>
      </c>
      <c r="AI8" s="642">
        <f>IFERROR(N(INDEX(Invoer!$AB$38:$AB$57,MATCH(2,Invoer!$BG$38:$BG$57,0))),0)</f>
        <v/>
      </c>
      <c r="AJ8" s="642">
        <f>IFERROR(N(INDEX(Invoer!$AC$38:$AC$57,MATCH(2,Invoer!$BG$38:$BG$57,0))),0)</f>
        <v/>
      </c>
      <c r="AL8" s="642">
        <f>IFERROR(N(INDEX(Invoer!$BC$38:$BC$57,MATCH(2,Invoer!$BG$38:$BG$57,0))),0)</f>
        <v/>
      </c>
      <c r="AN8" s="642">
        <f>IFERROR(N(INDEX(Invoer!$BD$38:$BD$57,MATCH(2,Invoer!$BG$38:$BG$57,0))),0)</f>
        <v/>
      </c>
      <c r="AO8" s="450" t="n"/>
      <c r="AP8" s="642">
        <f>IFERROR(N(INDEX(Invoer!$AD$38:$AD$57,MATCH(2,Invoer!$BG$38:$BG$57,0))),0)</f>
        <v/>
      </c>
      <c r="AR8" s="418">
        <f>(IF(X8&lt;&gt;"",(utwd*(IF(ISNUMBER(AE8),AE8,0))+uttd*(IF(ISNUMBER(AF8),AF8,0))+utsb*(IF(ISNUMBER(AG8),AG8,0))+utrw*(IF(ISNUMBER(AH8),AH8,0))+utd*(IF(ISNUMBER(AI8),AI8,0))+_ut3*(IF(ISNUMBER(AJ8),AJ8,0)) +(IF(ISNUMBER(AP8),AP8,0)))*(IF(Y8="j",1,IF(Y8="m",12,IF(Y8="w",52,IF(Y8="d",365,0)))))/X8,0))*L8</f>
        <v/>
      </c>
      <c r="AT8" s="642">
        <f>IFERROR(N(INDEX(Invoer!$AJ$38:$AJ$57,MATCH(2,Invoer!$BG$38:$BG$57,0))),0)</f>
        <v/>
      </c>
      <c r="AU8" s="450" t="n"/>
      <c r="AV8" s="420">
        <f>IFERROR(IF(INDEX(Invoer!$BE$38:$BE$57,MATCH(2,Invoer!$BG$38:$BG$57,0))="","",INDEX(Invoer!$BE$38:$BE$57,MATCH(2,Invoer!$BG$38:$BG$57,0))),"")</f>
        <v/>
      </c>
      <c r="AX8" s="519" t="n"/>
      <c r="AY8" s="418">
        <f>IF(ISBLANK(AX8),0,(IF(X8&lt;&gt;"",(utwd*(IF(ISNUMBER(AE8),AE8,0))+uttd*(IF(ISNUMBER(AF8),AF8,0))+utsb*(IF(ISNUMBER(AG8),AG8,0))+utrw*(IF(ISNUMBER(AH8),AH8,0))+utd*(IF(ISNUMBER(AI8),AI8,0))+_ut3*(IF(ISNUMBER(AJ8),AJ8,0)) +(IF(ISNUMBER(AP8),AP8,0))),0))*L8)</f>
        <v/>
      </c>
      <c r="AZ8" s="519" t="n"/>
      <c r="BA8" s="418">
        <f>IF(ISBLANK(AZ8),0,(IF(X8&lt;&gt;"",(utwd*(IF(ISNUMBER(AE8),AE8,0))+uttd*(IF(ISNUMBER(AF8),AF8,0))+utsb*(IF(ISNUMBER(AG8),AG8,0))+utrw*(IF(ISNUMBER(AH8),AH8,0))+utd*(IF(ISNUMBER(AI8),AI8,0))+_ut3*(IF(ISNUMBER(AJ8),AJ8,0)) +(IF(ISNUMBER(AP8),AP8,0))),0))*L8)</f>
        <v/>
      </c>
      <c r="BB8" s="519" t="n"/>
      <c r="BC8" s="418">
        <f>IF(ISBLANK(BB8),0,(IF(X8&lt;&gt;"",(utwd*(IF(ISNUMBER(AE8),AE8,0))+uttd*(IF(ISNUMBER(AF8),AF8,0))+utsb*(IF(ISNUMBER(AG8),AG8,0))+utrw*(IF(ISNUMBER(AH8),AH8,0))+utd*(IF(ISNUMBER(AI8),AI8,0))+_ut3*(IF(ISNUMBER(AJ8),AJ8,0)) +(IF(ISNUMBER(AP8),AP8,0))),0))*L8)</f>
        <v/>
      </c>
    </row>
    <row r="9" ht="9.949999999999999" customHeight="1" s="189">
      <c r="A9" s="640">
        <f>IFERROR(N(INDEX(Invoer!$B$38:$B$57,MATCH(3,Invoer!$BG$38:$BG$57,0))),0)</f>
        <v/>
      </c>
      <c r="B9" s="640">
        <f>IFERROR(N(INDEX(Invoer!$C$38:$C$57,MATCH(3,Invoer!$BG$38:$BG$57,0))),0)</f>
        <v/>
      </c>
      <c r="C9" s="640">
        <f>IFERROR(N(INDEX(Invoer!$D$38:$D$57,MATCH(3,Invoer!$BG$38:$BG$57,0))),0)</f>
        <v/>
      </c>
      <c r="D9" s="640">
        <f>IFERROR(N(INDEX(Invoer!$E$38:$E$57,MATCH(3,Invoer!$BG$38:$BG$57,0))),0)</f>
        <v/>
      </c>
      <c r="E9" s="640">
        <f>IFERROR(N(INDEX(Invoer!$F$38:$F$57,MATCH(3,Invoer!$BG$38:$BG$57,0))),0)</f>
        <v/>
      </c>
      <c r="F9" s="640">
        <f>IFERROR(N(INDEX(Invoer!$G$38:$G$57,MATCH(3,Invoer!$BG$38:$BG$57,0))),0)</f>
        <v/>
      </c>
      <c r="G9" s="640">
        <f>IFERROR(N(INDEX(Invoer!$H$38:$H$57,MATCH(3,Invoer!$BG$38:$BG$57,0))),0)</f>
        <v/>
      </c>
      <c r="H9" s="640">
        <f>IFERROR(N(INDEX(Invoer!$I$38:$I$57,MATCH(3,Invoer!$BG$38:$BG$57,0))),0)</f>
        <v/>
      </c>
      <c r="I9" s="640">
        <f>IFERROR(N(INDEX(Invoer!$J$38:$J$57,MATCH(3,Invoer!$BG$38:$BG$57,0))),0)</f>
        <v/>
      </c>
      <c r="J9" s="640">
        <f>IFERROR(N(INDEX(Invoer!$K$38:$K$57,MATCH(3,Invoer!$BG$38:$BG$57,0))),0)</f>
        <v/>
      </c>
      <c r="K9" s="414">
        <f>IFERROR(IF(INDEX(Invoer!$L$38:$L$57,MATCH(3,Invoer!$BG$38:$BG$57,0))="","",INDEX(Invoer!$L$38:$L$57,MATCH(3,Invoer!$BG$38:$BG$57,0))),"")</f>
        <v/>
      </c>
      <c r="L9" s="642">
        <f>IFERROR(N(INDEX(Invoer!$M$38:$M$57,MATCH(3,Invoer!$BG$38:$BG$57,0))),0)</f>
        <v/>
      </c>
      <c r="M9" s="419">
        <f>IFERROR(IF(INDEX(Invoer!$BK$38:$BK$57,MATCH(3,Invoer!$BG$38:$BG$57,0))="","",INDEX(Invoer!$BK$38:$BK$57,MATCH(3,Invoer!$BG$38:$BG$57,0))),"")</f>
        <v/>
      </c>
      <c r="N9" s="419">
        <f>IFERROR(IF(INDEX(Invoer!$BL$38:$BL$57,MATCH(3,Invoer!$BG$38:$BG$57,0))="","",INDEX(Invoer!$BL$38:$BL$57,MATCH(3,Invoer!$BG$38:$BG$57,0))),"")</f>
        <v/>
      </c>
      <c r="O9" s="419">
        <f>IFERROR(IF(INDEX(Invoer!$BM$38:$BM$57,MATCH(3,Invoer!$BG$38:$BG$57,0))="","",INDEX(Invoer!$BM$38:$BM$57,MATCH(3,Invoer!$BG$38:$BG$57,0))),"")</f>
        <v/>
      </c>
      <c r="P9" s="419">
        <f>IFERROR(IF(INDEX(Invoer!$BN$38:$BN$57,MATCH(3,Invoer!$BG$38:$BG$57,0))="","",INDEX(Invoer!$BN$38:$BN$57,MATCH(3,Invoer!$BG$38:$BG$57,0))),"")</f>
        <v/>
      </c>
      <c r="Q9" s="419">
        <f>IFERROR(IF(INDEX(Invoer!$BO$38:$BO$57,MATCH(3,Invoer!$BG$38:$BG$57,0))="","",INDEX(Invoer!$BO$38:$BO$57,MATCH(3,Invoer!$BG$38:$BG$57,0))),"")</f>
        <v/>
      </c>
      <c r="R9" s="419">
        <f>IFERROR(IF(INDEX(Invoer!$BP$38:$BP$57,MATCH(3,Invoer!$BG$38:$BG$57,0))="","",INDEX(Invoer!$BP$38:$BP$57,MATCH(3,Invoer!$BG$38:$BG$57,0))),"")</f>
        <v/>
      </c>
      <c r="S9" s="450" t="n"/>
      <c r="T9" s="416">
        <f>IFERROR(IF(INDEX(Invoer!$Q$38:$Q$57,MATCH(3,Invoer!$BG$38:$BG$57,0))="","",INDEX(Invoer!$Q$38:$Q$57,MATCH(3,Invoer!$BG$38:$BG$57,0))),"")</f>
        <v/>
      </c>
      <c r="U9" s="450" t="n"/>
      <c r="V9" s="419">
        <f>IFERROR(IF(INDEX(Invoer!$R$38:$R$57,MATCH(3,Invoer!$BG$38:$BG$57,0))="","",INDEX(Invoer!$R$38:$R$57,MATCH(3,Invoer!$BG$38:$BG$57,0))),"")</f>
        <v/>
      </c>
      <c r="W9" s="450" t="n"/>
      <c r="X9" s="417">
        <f>IFERROR(IF(N(INDEX(Invoer!$BV$38:$BV$57,MATCH(3,Invoer!$BG$38:$BG$57,0)))=0,"",INDEX(Invoer!$BV$38:$BV$57,MATCH(3,Invoer!$BG$38:$BG$57,0))),"")</f>
        <v/>
      </c>
      <c r="Y9" s="419">
        <f>IFERROR(IF(INDEX(Invoer!$T$38:$T$57,MATCH(3,Invoer!$BG$38:$BG$57,0))="","",INDEX(Invoer!$T$38:$T$57,MATCH(3,Invoer!$BG$38:$BG$57,0))),"")</f>
        <v/>
      </c>
      <c r="AA9" s="419">
        <f>IFERROR(IF(INDEX(Invoer!$U$38:$U$57,MATCH(3,Invoer!$BG$38:$BG$57,0))="","",INDEX(Invoer!$U$38:$U$57,MATCH(3,Invoer!$BG$38:$BG$57,0))),"")</f>
        <v/>
      </c>
      <c r="AB9" s="419">
        <f>IFERROR(IF(INDEX(Invoer!$V$38:$V$57,MATCH(3,Invoer!$BG$38:$BG$57,0))="","",INDEX(Invoer!$V$38:$V$57,MATCH(3,Invoer!$BG$38:$BG$57,0))),"")</f>
        <v/>
      </c>
      <c r="AC9" s="419">
        <f>IFERROR(IF(INDEX(Invoer!$W$38:$W$57,MATCH(3,Invoer!$BG$38:$BG$57,0))="","",INDEX(Invoer!$W$38:$W$57,MATCH(3,Invoer!$BG$38:$BG$57,0))),"")</f>
        <v/>
      </c>
      <c r="AE9" s="642">
        <f>IFERROR(N(INDEX(Invoer!$X$38:$X$57,MATCH(3,Invoer!$BG$38:$BG$57,0))),0)</f>
        <v/>
      </c>
      <c r="AF9" s="642">
        <f>IFERROR(N(INDEX(Invoer!$Y$38:$Y$57,MATCH(3,Invoer!$BG$38:$BG$57,0))),0)</f>
        <v/>
      </c>
      <c r="AG9" s="642">
        <f>IFERROR(N(INDEX(Invoer!$Z$38:$Z$57,MATCH(3,Invoer!$BG$38:$BG$57,0))),0)</f>
        <v/>
      </c>
      <c r="AH9" s="642">
        <f>IFERROR(N(INDEX(Invoer!$AA$38:$AA$57,MATCH(3,Invoer!$BG$38:$BG$57,0))),0)</f>
        <v/>
      </c>
      <c r="AI9" s="642">
        <f>IFERROR(N(INDEX(Invoer!$AB$38:$AB$57,MATCH(3,Invoer!$BG$38:$BG$57,0))),0)</f>
        <v/>
      </c>
      <c r="AJ9" s="642">
        <f>IFERROR(N(INDEX(Invoer!$AC$38:$AC$57,MATCH(3,Invoer!$BG$38:$BG$57,0))),0)</f>
        <v/>
      </c>
      <c r="AL9" s="642">
        <f>IFERROR(N(INDEX(Invoer!$BC$38:$BC$57,MATCH(3,Invoer!$BG$38:$BG$57,0))),0)</f>
        <v/>
      </c>
      <c r="AN9" s="642">
        <f>IFERROR(N(INDEX(Invoer!$BD$38:$BD$57,MATCH(3,Invoer!$BG$38:$BG$57,0))),0)</f>
        <v/>
      </c>
      <c r="AO9" s="450" t="n"/>
      <c r="AP9" s="642">
        <f>IFERROR(N(INDEX(Invoer!$AD$38:$AD$57,MATCH(3,Invoer!$BG$38:$BG$57,0))),0)</f>
        <v/>
      </c>
      <c r="AR9" s="418">
        <f>(IF(X9&lt;&gt;"",(utwd*(IF(ISNUMBER(AE9),AE9,0))+uttd*(IF(ISNUMBER(AF9),AF9,0))+utsb*(IF(ISNUMBER(AG9),AG9,0))+utrw*(IF(ISNUMBER(AH9),AH9,0))+utd*(IF(ISNUMBER(AI9),AI9,0))+_ut3*(IF(ISNUMBER(AJ9),AJ9,0)) +(IF(ISNUMBER(AP9),AP9,0)))*(IF(Y9="j",1,IF(Y9="m",12,IF(Y9="w",52,IF(Y9="d",365,0)))))/X9,0))*L9</f>
        <v/>
      </c>
      <c r="AT9" s="642">
        <f>IFERROR(N(INDEX(Invoer!$AJ$38:$AJ$57,MATCH(3,Invoer!$BG$38:$BG$57,0))),0)</f>
        <v/>
      </c>
      <c r="AU9" s="450" t="n"/>
      <c r="AV9" s="420">
        <f>IFERROR(IF(INDEX(Invoer!$BE$38:$BE$57,MATCH(3,Invoer!$BG$38:$BG$57,0))="","",INDEX(Invoer!$BE$38:$BE$57,MATCH(3,Invoer!$BG$38:$BG$57,0))),"")</f>
        <v/>
      </c>
      <c r="AX9" s="519" t="n"/>
      <c r="AY9" s="418">
        <f>IF(ISBLANK(AX9),0,(IF(X9&lt;&gt;"",(utwd*(IF(ISNUMBER(AE9),AE9,0))+uttd*(IF(ISNUMBER(AF9),AF9,0))+utsb*(IF(ISNUMBER(AG9),AG9,0))+utrw*(IF(ISNUMBER(AH9),AH9,0))+utd*(IF(ISNUMBER(AI9),AI9,0))+_ut3*(IF(ISNUMBER(AJ9),AJ9,0)) +(IF(ISNUMBER(AP9),AP9,0))),0))*L9)</f>
        <v/>
      </c>
      <c r="AZ9" s="519" t="n"/>
      <c r="BA9" s="418">
        <f>IF(ISBLANK(AZ9),0,(IF(X9&lt;&gt;"",(utwd*(IF(ISNUMBER(AE9),AE9,0))+uttd*(IF(ISNUMBER(AF9),AF9,0))+utsb*(IF(ISNUMBER(AG9),AG9,0))+utrw*(IF(ISNUMBER(AH9),AH9,0))+utd*(IF(ISNUMBER(AI9),AI9,0))+_ut3*(IF(ISNUMBER(AJ9),AJ9,0)) +(IF(ISNUMBER(AP9),AP9,0))),0))*L9)</f>
        <v/>
      </c>
      <c r="BB9" s="519" t="n"/>
      <c r="BC9" s="418">
        <f>IF(ISBLANK(BB9),0,(IF(X9&lt;&gt;"",(utwd*(IF(ISNUMBER(AE9),AE9,0))+uttd*(IF(ISNUMBER(AF9),AF9,0))+utsb*(IF(ISNUMBER(AG9),AG9,0))+utrw*(IF(ISNUMBER(AH9),AH9,0))+utd*(IF(ISNUMBER(AI9),AI9,0))+_ut3*(IF(ISNUMBER(AJ9),AJ9,0)) +(IF(ISNUMBER(AP9),AP9,0))),0))*L9)</f>
        <v/>
      </c>
    </row>
    <row r="10" ht="9.949999999999999" customHeight="1" s="189">
      <c r="A10" s="640">
        <f>IFERROR(N(INDEX(Invoer!$B$38:$B$57,MATCH(4,Invoer!$BG$38:$BG$57,0))),0)</f>
        <v/>
      </c>
      <c r="B10" s="641">
        <f>IFERROR(N(INDEX(Invoer!$C$38:$C$57,MATCH(4,Invoer!$BG$38:$BG$57,0))),0)</f>
        <v/>
      </c>
      <c r="C10" s="640">
        <f>IFERROR(N(INDEX(Invoer!$D$38:$D$57,MATCH(4,Invoer!$BG$38:$BG$57,0))),0)</f>
        <v/>
      </c>
      <c r="D10" s="640">
        <f>IFERROR(N(INDEX(Invoer!$E$38:$E$57,MATCH(4,Invoer!$BG$38:$BG$57,0))),0)</f>
        <v/>
      </c>
      <c r="E10" s="640">
        <f>IFERROR(N(INDEX(Invoer!$F$38:$F$57,MATCH(4,Invoer!$BG$38:$BG$57,0))),0)</f>
        <v/>
      </c>
      <c r="F10" s="640">
        <f>IFERROR(N(INDEX(Invoer!$G$38:$G$57,MATCH(4,Invoer!$BG$38:$BG$57,0))),0)</f>
        <v/>
      </c>
      <c r="G10" s="640">
        <f>IFERROR(N(INDEX(Invoer!$H$38:$H$57,MATCH(4,Invoer!$BG$38:$BG$57,0))),0)</f>
        <v/>
      </c>
      <c r="H10" s="640">
        <f>IFERROR(N(INDEX(Invoer!$I$38:$I$57,MATCH(4,Invoer!$BG$38:$BG$57,0))),0)</f>
        <v/>
      </c>
      <c r="I10" s="640">
        <f>IFERROR(N(INDEX(Invoer!$J$38:$J$57,MATCH(4,Invoer!$BG$38:$BG$57,0))),0)</f>
        <v/>
      </c>
      <c r="J10" s="640">
        <f>IFERROR(N(INDEX(Invoer!$K$38:$K$57,MATCH(4,Invoer!$BG$38:$BG$57,0))),0)</f>
        <v/>
      </c>
      <c r="K10" s="414">
        <f>IFERROR(IF(INDEX(Invoer!$L$38:$L$57,MATCH(4,Invoer!$BG$38:$BG$57,0))="","",INDEX(Invoer!$L$38:$L$57,MATCH(4,Invoer!$BG$38:$BG$57,0))),"")</f>
        <v/>
      </c>
      <c r="L10" s="642">
        <f>IFERROR(N(INDEX(Invoer!$M$38:$M$57,MATCH(4,Invoer!$BG$38:$BG$57,0))),0)</f>
        <v/>
      </c>
      <c r="M10" s="419">
        <f>IFERROR(IF(INDEX(Invoer!$BK$38:$BK$57,MATCH(4,Invoer!$BG$38:$BG$57,0))="","",INDEX(Invoer!$BK$38:$BK$57,MATCH(4,Invoer!$BG$38:$BG$57,0))),"")</f>
        <v/>
      </c>
      <c r="N10" s="419">
        <f>IFERROR(IF(INDEX(Invoer!$BL$38:$BL$57,MATCH(4,Invoer!$BG$38:$BG$57,0))="","",INDEX(Invoer!$BL$38:$BL$57,MATCH(4,Invoer!$BG$38:$BG$57,0))),"")</f>
        <v/>
      </c>
      <c r="O10" s="419">
        <f>IFERROR(IF(INDEX(Invoer!$BM$38:$BM$57,MATCH(4,Invoer!$BG$38:$BG$57,0))="","",INDEX(Invoer!$BM$38:$BM$57,MATCH(4,Invoer!$BG$38:$BG$57,0))),"")</f>
        <v/>
      </c>
      <c r="P10" s="419">
        <f>IFERROR(IF(INDEX(Invoer!$BN$38:$BN$57,MATCH(4,Invoer!$BG$38:$BG$57,0))="","",INDEX(Invoer!$BN$38:$BN$57,MATCH(4,Invoer!$BG$38:$BG$57,0))),"")</f>
        <v/>
      </c>
      <c r="Q10" s="419">
        <f>IFERROR(IF(INDEX(Invoer!$BO$38:$BO$57,MATCH(4,Invoer!$BG$38:$BG$57,0))="","",INDEX(Invoer!$BO$38:$BO$57,MATCH(4,Invoer!$BG$38:$BG$57,0))),"")</f>
        <v/>
      </c>
      <c r="R10" s="419">
        <f>IFERROR(IF(INDEX(Invoer!$BP$38:$BP$57,MATCH(4,Invoer!$BG$38:$BG$57,0))="","",INDEX(Invoer!$BP$38:$BP$57,MATCH(4,Invoer!$BG$38:$BG$57,0))),"")</f>
        <v/>
      </c>
      <c r="S10" s="450" t="n"/>
      <c r="T10" s="416">
        <f>IFERROR(IF(INDEX(Invoer!$Q$38:$Q$57,MATCH(4,Invoer!$BG$38:$BG$57,0))="","",INDEX(Invoer!$Q$38:$Q$57,MATCH(4,Invoer!$BG$38:$BG$57,0))),"")</f>
        <v/>
      </c>
      <c r="U10" s="450" t="n"/>
      <c r="V10" s="419">
        <f>IFERROR(IF(INDEX(Invoer!$R$38:$R$57,MATCH(4,Invoer!$BG$38:$BG$57,0))="","",INDEX(Invoer!$R$38:$R$57,MATCH(4,Invoer!$BG$38:$BG$57,0))),"")</f>
        <v/>
      </c>
      <c r="W10" s="450" t="n"/>
      <c r="X10" s="417">
        <f>IFERROR(IF(N(INDEX(Invoer!$BV$38:$BV$57,MATCH(4,Invoer!$BG$38:$BG$57,0)))=0,"",INDEX(Invoer!$BV$38:$BV$57,MATCH(4,Invoer!$BG$38:$BG$57,0))),"")</f>
        <v/>
      </c>
      <c r="Y10" s="419">
        <f>IFERROR(IF(INDEX(Invoer!$T$38:$T$57,MATCH(4,Invoer!$BG$38:$BG$57,0))="","",INDEX(Invoer!$T$38:$T$57,MATCH(4,Invoer!$BG$38:$BG$57,0))),"")</f>
        <v/>
      </c>
      <c r="AA10" s="419">
        <f>IFERROR(IF(INDEX(Invoer!$U$38:$U$57,MATCH(4,Invoer!$BG$38:$BG$57,0))="","",INDEX(Invoer!$U$38:$U$57,MATCH(4,Invoer!$BG$38:$BG$57,0))),"")</f>
        <v/>
      </c>
      <c r="AB10" s="419">
        <f>IFERROR(IF(INDEX(Invoer!$V$38:$V$57,MATCH(4,Invoer!$BG$38:$BG$57,0))="","",INDEX(Invoer!$V$38:$V$57,MATCH(4,Invoer!$BG$38:$BG$57,0))),"")</f>
        <v/>
      </c>
      <c r="AC10" s="419">
        <f>IFERROR(IF(INDEX(Invoer!$W$38:$W$57,MATCH(4,Invoer!$BG$38:$BG$57,0))="","",INDEX(Invoer!$W$38:$W$57,MATCH(4,Invoer!$BG$38:$BG$57,0))),"")</f>
        <v/>
      </c>
      <c r="AE10" s="642">
        <f>IFERROR(N(INDEX(Invoer!$X$38:$X$57,MATCH(4,Invoer!$BG$38:$BG$57,0))),0)</f>
        <v/>
      </c>
      <c r="AF10" s="642">
        <f>IFERROR(N(INDEX(Invoer!$Y$38:$Y$57,MATCH(4,Invoer!$BG$38:$BG$57,0))),0)</f>
        <v/>
      </c>
      <c r="AG10" s="642">
        <f>IFERROR(N(INDEX(Invoer!$Z$38:$Z$57,MATCH(4,Invoer!$BG$38:$BG$57,0))),0)</f>
        <v/>
      </c>
      <c r="AH10" s="642">
        <f>IFERROR(N(INDEX(Invoer!$AA$38:$AA$57,MATCH(4,Invoer!$BG$38:$BG$57,0))),0)</f>
        <v/>
      </c>
      <c r="AI10" s="642">
        <f>IFERROR(N(INDEX(Invoer!$AB$38:$AB$57,MATCH(4,Invoer!$BG$38:$BG$57,0))),0)</f>
        <v/>
      </c>
      <c r="AJ10" s="642">
        <f>IFERROR(N(INDEX(Invoer!$AC$38:$AC$57,MATCH(4,Invoer!$BG$38:$BG$57,0))),0)</f>
        <v/>
      </c>
      <c r="AL10" s="642">
        <f>IFERROR(N(INDEX(Invoer!$BC$38:$BC$57,MATCH(4,Invoer!$BG$38:$BG$57,0))),0)</f>
        <v/>
      </c>
      <c r="AN10" s="642">
        <f>IFERROR(N(INDEX(Invoer!$BD$38:$BD$57,MATCH(4,Invoer!$BG$38:$BG$57,0))),0)</f>
        <v/>
      </c>
      <c r="AO10" s="450" t="n"/>
      <c r="AP10" s="642">
        <f>IFERROR(N(INDEX(Invoer!$AD$38:$AD$57,MATCH(4,Invoer!$BG$38:$BG$57,0))),0)</f>
        <v/>
      </c>
      <c r="AR10" s="418">
        <f>(IF(X10&lt;&gt;"",(utwd*(IF(ISNUMBER(AE10),AE10,0))+uttd*(IF(ISNUMBER(AF10),AF10,0))+utsb*(IF(ISNUMBER(AG10),AG10,0))+utrw*(IF(ISNUMBER(AH10),AH10,0))+utd*(IF(ISNUMBER(AI10),AI10,0))+_ut3*(IF(ISNUMBER(AJ10),AJ10,0)) +(IF(ISNUMBER(AP10),AP10,0)))*(IF(Y10="j",1,IF(Y10="m",12,IF(Y10="w",52,IF(Y10="d",365,0)))))/X10,0))*L10</f>
        <v/>
      </c>
      <c r="AT10" s="642">
        <f>IFERROR(N(INDEX(Invoer!$AJ$38:$AJ$57,MATCH(4,Invoer!$BG$38:$BG$57,0))),0)</f>
        <v/>
      </c>
      <c r="AU10" s="450" t="n"/>
      <c r="AV10" s="420">
        <f>IFERROR(IF(INDEX(Invoer!$BE$38:$BE$57,MATCH(4,Invoer!$BG$38:$BG$57,0))="","",INDEX(Invoer!$BE$38:$BE$57,MATCH(4,Invoer!$BG$38:$BG$57,0))),"")</f>
        <v/>
      </c>
      <c r="AX10" s="519" t="n"/>
      <c r="AY10" s="418">
        <f>IF(ISBLANK(AX10),0,(IF(X10&lt;&gt;"",(utwd*(IF(ISNUMBER(AE10),AE10,0))+uttd*(IF(ISNUMBER(AF10),AF10,0))+utsb*(IF(ISNUMBER(AG10),AG10,0))+utrw*(IF(ISNUMBER(AH10),AH10,0))+utd*(IF(ISNUMBER(AI10),AI10,0))+_ut3*(IF(ISNUMBER(AJ10),AJ10,0)) +(IF(ISNUMBER(AP10),AP10,0))),0))*L10)</f>
        <v/>
      </c>
      <c r="AZ10" s="519" t="n"/>
      <c r="BA10" s="418">
        <f>IF(ISBLANK(AZ10),0,(IF(X10&lt;&gt;"",(utwd*(IF(ISNUMBER(AE10),AE10,0))+uttd*(IF(ISNUMBER(AF10),AF10,0))+utsb*(IF(ISNUMBER(AG10),AG10,0))+utrw*(IF(ISNUMBER(AH10),AH10,0))+utd*(IF(ISNUMBER(AI10),AI10,0))+_ut3*(IF(ISNUMBER(AJ10),AJ10,0)) +(IF(ISNUMBER(AP10),AP10,0))),0))*L10)</f>
        <v/>
      </c>
      <c r="BB10" s="519" t="n"/>
      <c r="BC10" s="418">
        <f>IF(ISBLANK(BB10),0,(IF(X10&lt;&gt;"",(utwd*(IF(ISNUMBER(AE10),AE10,0))+uttd*(IF(ISNUMBER(AF10),AF10,0))+utsb*(IF(ISNUMBER(AG10),AG10,0))+utrw*(IF(ISNUMBER(AH10),AH10,0))+utd*(IF(ISNUMBER(AI10),AI10,0))+_ut3*(IF(ISNUMBER(AJ10),AJ10,0)) +(IF(ISNUMBER(AP10),AP10,0))),0))*L10)</f>
        <v/>
      </c>
    </row>
    <row r="11" ht="9.949999999999999" customHeight="1" s="189">
      <c r="A11" s="640">
        <f>IFERROR(N(INDEX(Invoer!$B$38:$B$57,MATCH(5,Invoer!$BG$38:$BG$57,0))),0)</f>
        <v/>
      </c>
      <c r="B11" s="640">
        <f>IFERROR(N(INDEX(Invoer!$C$38:$C$57,MATCH(5,Invoer!$BG$38:$BG$57,0))),0)</f>
        <v/>
      </c>
      <c r="C11" s="640">
        <f>IFERROR(N(INDEX(Invoer!$D$38:$D$57,MATCH(5,Invoer!$BG$38:$BG$57,0))),0)</f>
        <v/>
      </c>
      <c r="D11" s="640">
        <f>IFERROR(N(INDEX(Invoer!$E$38:$E$57,MATCH(5,Invoer!$BG$38:$BG$57,0))),0)</f>
        <v/>
      </c>
      <c r="E11" s="640">
        <f>IFERROR(N(INDEX(Invoer!$F$38:$F$57,MATCH(5,Invoer!$BG$38:$BG$57,0))),0)</f>
        <v/>
      </c>
      <c r="F11" s="640">
        <f>IFERROR(N(INDEX(Invoer!$G$38:$G$57,MATCH(5,Invoer!$BG$38:$BG$57,0))),0)</f>
        <v/>
      </c>
      <c r="G11" s="640">
        <f>IFERROR(N(INDEX(Invoer!$H$38:$H$57,MATCH(5,Invoer!$BG$38:$BG$57,0))),0)</f>
        <v/>
      </c>
      <c r="H11" s="640">
        <f>IFERROR(N(INDEX(Invoer!$I$38:$I$57,MATCH(5,Invoer!$BG$38:$BG$57,0))),0)</f>
        <v/>
      </c>
      <c r="I11" s="640">
        <f>IFERROR(N(INDEX(Invoer!$J$38:$J$57,MATCH(5,Invoer!$BG$38:$BG$57,0))),0)</f>
        <v/>
      </c>
      <c r="J11" s="640">
        <f>IFERROR(N(INDEX(Invoer!$K$38:$K$57,MATCH(5,Invoer!$BG$38:$BG$57,0))),0)</f>
        <v/>
      </c>
      <c r="K11" s="414">
        <f>IFERROR(IF(INDEX(Invoer!$L$38:$L$57,MATCH(5,Invoer!$BG$38:$BG$57,0))="","",INDEX(Invoer!$L$38:$L$57,MATCH(5,Invoer!$BG$38:$BG$57,0))),"")</f>
        <v/>
      </c>
      <c r="L11" s="642">
        <f>IFERROR(N(INDEX(Invoer!$M$38:$M$57,MATCH(5,Invoer!$BG$38:$BG$57,0))),0)</f>
        <v/>
      </c>
      <c r="M11" s="419">
        <f>IFERROR(IF(INDEX(Invoer!$BK$38:$BK$57,MATCH(5,Invoer!$BG$38:$BG$57,0))="","",INDEX(Invoer!$BK$38:$BK$57,MATCH(5,Invoer!$BG$38:$BG$57,0))),"")</f>
        <v/>
      </c>
      <c r="N11" s="419">
        <f>IFERROR(IF(INDEX(Invoer!$BL$38:$BL$57,MATCH(5,Invoer!$BG$38:$BG$57,0))="","",INDEX(Invoer!$BL$38:$BL$57,MATCH(5,Invoer!$BG$38:$BG$57,0))),"")</f>
        <v/>
      </c>
      <c r="O11" s="419">
        <f>IFERROR(IF(INDEX(Invoer!$BM$38:$BM$57,MATCH(5,Invoer!$BG$38:$BG$57,0))="","",INDEX(Invoer!$BM$38:$BM$57,MATCH(5,Invoer!$BG$38:$BG$57,0))),"")</f>
        <v/>
      </c>
      <c r="P11" s="419">
        <f>IFERROR(IF(INDEX(Invoer!$BN$38:$BN$57,MATCH(5,Invoer!$BG$38:$BG$57,0))="","",INDEX(Invoer!$BN$38:$BN$57,MATCH(5,Invoer!$BG$38:$BG$57,0))),"")</f>
        <v/>
      </c>
      <c r="Q11" s="419">
        <f>IFERROR(IF(INDEX(Invoer!$BO$38:$BO$57,MATCH(5,Invoer!$BG$38:$BG$57,0))="","",INDEX(Invoer!$BO$38:$BO$57,MATCH(5,Invoer!$BG$38:$BG$57,0))),"")</f>
        <v/>
      </c>
      <c r="R11" s="419">
        <f>IFERROR(IF(INDEX(Invoer!$BP$38:$BP$57,MATCH(5,Invoer!$BG$38:$BG$57,0))="","",INDEX(Invoer!$BP$38:$BP$57,MATCH(5,Invoer!$BG$38:$BG$57,0))),"")</f>
        <v/>
      </c>
      <c r="S11" s="450" t="n"/>
      <c r="T11" s="416">
        <f>IFERROR(IF(INDEX(Invoer!$Q$38:$Q$57,MATCH(5,Invoer!$BG$38:$BG$57,0))="","",INDEX(Invoer!$Q$38:$Q$57,MATCH(5,Invoer!$BG$38:$BG$57,0))),"")</f>
        <v/>
      </c>
      <c r="U11" s="450" t="n"/>
      <c r="V11" s="419">
        <f>IFERROR(IF(INDEX(Invoer!$R$38:$R$57,MATCH(5,Invoer!$BG$38:$BG$57,0))="","",INDEX(Invoer!$R$38:$R$57,MATCH(5,Invoer!$BG$38:$BG$57,0))),"")</f>
        <v/>
      </c>
      <c r="W11" s="450" t="n"/>
      <c r="X11" s="417">
        <f>IFERROR(IF(N(INDEX(Invoer!$BV$38:$BV$57,MATCH(5,Invoer!$BG$38:$BG$57,0)))=0,"",INDEX(Invoer!$BV$38:$BV$57,MATCH(5,Invoer!$BG$38:$BG$57,0))),"")</f>
        <v/>
      </c>
      <c r="Y11" s="419">
        <f>IFERROR(IF(INDEX(Invoer!$T$38:$T$57,MATCH(5,Invoer!$BG$38:$BG$57,0))="","",INDEX(Invoer!$T$38:$T$57,MATCH(5,Invoer!$BG$38:$BG$57,0))),"")</f>
        <v/>
      </c>
      <c r="AA11" s="419">
        <f>IFERROR(IF(INDEX(Invoer!$U$38:$U$57,MATCH(5,Invoer!$BG$38:$BG$57,0))="","",INDEX(Invoer!$U$38:$U$57,MATCH(5,Invoer!$BG$38:$BG$57,0))),"")</f>
        <v/>
      </c>
      <c r="AB11" s="419">
        <f>IFERROR(IF(INDEX(Invoer!$V$38:$V$57,MATCH(5,Invoer!$BG$38:$BG$57,0))="","",INDEX(Invoer!$V$38:$V$57,MATCH(5,Invoer!$BG$38:$BG$57,0))),"")</f>
        <v/>
      </c>
      <c r="AC11" s="419">
        <f>IFERROR(IF(INDEX(Invoer!$W$38:$W$57,MATCH(5,Invoer!$BG$38:$BG$57,0))="","",INDEX(Invoer!$W$38:$W$57,MATCH(5,Invoer!$BG$38:$BG$57,0))),"")</f>
        <v/>
      </c>
      <c r="AE11" s="642">
        <f>IFERROR(N(INDEX(Invoer!$X$38:$X$57,MATCH(5,Invoer!$BG$38:$BG$57,0))),0)</f>
        <v/>
      </c>
      <c r="AF11" s="642">
        <f>IFERROR(N(INDEX(Invoer!$Y$38:$Y$57,MATCH(5,Invoer!$BG$38:$BG$57,0))),0)</f>
        <v/>
      </c>
      <c r="AG11" s="642">
        <f>IFERROR(N(INDEX(Invoer!$Z$38:$Z$57,MATCH(5,Invoer!$BG$38:$BG$57,0))),0)</f>
        <v/>
      </c>
      <c r="AH11" s="642">
        <f>IFERROR(N(INDEX(Invoer!$AA$38:$AA$57,MATCH(5,Invoer!$BG$38:$BG$57,0))),0)</f>
        <v/>
      </c>
      <c r="AI11" s="642">
        <f>IFERROR(N(INDEX(Invoer!$AB$38:$AB$57,MATCH(5,Invoer!$BG$38:$BG$57,0))),0)</f>
        <v/>
      </c>
      <c r="AJ11" s="642">
        <f>IFERROR(N(INDEX(Invoer!$AC$38:$AC$57,MATCH(5,Invoer!$BG$38:$BG$57,0))),0)</f>
        <v/>
      </c>
      <c r="AL11" s="642">
        <f>IFERROR(N(INDEX(Invoer!$BC$38:$BC$57,MATCH(5,Invoer!$BG$38:$BG$57,0))),0)</f>
        <v/>
      </c>
      <c r="AN11" s="642">
        <f>IFERROR(N(INDEX(Invoer!$BD$38:$BD$57,MATCH(5,Invoer!$BG$38:$BG$57,0))),0)</f>
        <v/>
      </c>
      <c r="AO11" s="450" t="n"/>
      <c r="AP11" s="642">
        <f>IFERROR(N(INDEX(Invoer!$AD$38:$AD$57,MATCH(5,Invoer!$BG$38:$BG$57,0))),0)</f>
        <v/>
      </c>
      <c r="AR11" s="418">
        <f>(IF(X11&lt;&gt;"",(utwd*(IF(ISNUMBER(AE11),AE11,0))+uttd*(IF(ISNUMBER(AF11),AF11,0))+utsb*(IF(ISNUMBER(AG11),AG11,0))+utrw*(IF(ISNUMBER(AH11),AH11,0))+utd*(IF(ISNUMBER(AI11),AI11,0))+_ut3*(IF(ISNUMBER(AJ11),AJ11,0)) +(IF(ISNUMBER(AP11),AP11,0)))*(IF(Y11="j",1,IF(Y11="m",12,IF(Y11="w",52,IF(Y11="d",365,0)))))/X11,0))*L11</f>
        <v/>
      </c>
      <c r="AT11" s="642">
        <f>IFERROR(N(INDEX(Invoer!$AJ$38:$AJ$57,MATCH(5,Invoer!$BG$38:$BG$57,0))),0)</f>
        <v/>
      </c>
      <c r="AU11" s="450" t="n"/>
      <c r="AV11" s="420">
        <f>IFERROR(IF(INDEX(Invoer!$BE$38:$BE$57,MATCH(5,Invoer!$BG$38:$BG$57,0))="","",INDEX(Invoer!$BE$38:$BE$57,MATCH(5,Invoer!$BG$38:$BG$57,0))),"")</f>
        <v/>
      </c>
      <c r="AX11" s="519" t="n"/>
      <c r="AY11" s="418">
        <f>IF(ISBLANK(AX11),0,(IF(X11&lt;&gt;"",(utwd*(IF(ISNUMBER(AE11),AE11,0))+uttd*(IF(ISNUMBER(AF11),AF11,0))+utsb*(IF(ISNUMBER(AG11),AG11,0))+utrw*(IF(ISNUMBER(AH11),AH11,0))+utd*(IF(ISNUMBER(AI11),AI11,0))+_ut3*(IF(ISNUMBER(AJ11),AJ11,0)) +(IF(ISNUMBER(AP11),AP11,0))),0))*L11)</f>
        <v/>
      </c>
      <c r="AZ11" s="519" t="n"/>
      <c r="BA11" s="418">
        <f>IF(ISBLANK(AZ11),0,(IF(X11&lt;&gt;"",(utwd*(IF(ISNUMBER(AE11),AE11,0))+uttd*(IF(ISNUMBER(AF11),AF11,0))+utsb*(IF(ISNUMBER(AG11),AG11,0))+utrw*(IF(ISNUMBER(AH11),AH11,0))+utd*(IF(ISNUMBER(AI11),AI11,0))+_ut3*(IF(ISNUMBER(AJ11),AJ11,0)) +(IF(ISNUMBER(AP11),AP11,0))),0))*L11)</f>
        <v/>
      </c>
      <c r="BB11" s="519" t="n"/>
      <c r="BC11" s="418">
        <f>IF(ISBLANK(BB11),0,(IF(X11&lt;&gt;"",(utwd*(IF(ISNUMBER(AE11),AE11,0))+uttd*(IF(ISNUMBER(AF11),AF11,0))+utsb*(IF(ISNUMBER(AG11),AG11,0))+utrw*(IF(ISNUMBER(AH11),AH11,0))+utd*(IF(ISNUMBER(AI11),AI11,0))+_ut3*(IF(ISNUMBER(AJ11),AJ11,0)) +(IF(ISNUMBER(AP11),AP11,0))),0))*L11)</f>
        <v/>
      </c>
    </row>
    <row r="12" ht="9.949999999999999" customHeight="1" s="189">
      <c r="A12" s="640">
        <f>IFERROR(N(INDEX(Invoer!$B$38:$B$57,MATCH(6,Invoer!$BG$38:$BG$57,0))),0)</f>
        <v/>
      </c>
      <c r="B12" s="640">
        <f>IFERROR(N(INDEX(Invoer!$C$38:$C$57,MATCH(6,Invoer!$BG$38:$BG$57,0))),0)</f>
        <v/>
      </c>
      <c r="C12" s="640">
        <f>IFERROR(N(INDEX(Invoer!$D$38:$D$57,MATCH(6,Invoer!$BG$38:$BG$57,0))),0)</f>
        <v/>
      </c>
      <c r="D12" s="640">
        <f>IFERROR(N(INDEX(Invoer!$E$38:$E$57,MATCH(6,Invoer!$BG$38:$BG$57,0))),0)</f>
        <v/>
      </c>
      <c r="E12" s="640">
        <f>IFERROR(N(INDEX(Invoer!$F$38:$F$57,MATCH(6,Invoer!$BG$38:$BG$57,0))),0)</f>
        <v/>
      </c>
      <c r="F12" s="640">
        <f>IFERROR(N(INDEX(Invoer!$G$38:$G$57,MATCH(6,Invoer!$BG$38:$BG$57,0))),0)</f>
        <v/>
      </c>
      <c r="G12" s="640">
        <f>IFERROR(N(INDEX(Invoer!$H$38:$H$57,MATCH(6,Invoer!$BG$38:$BG$57,0))),0)</f>
        <v/>
      </c>
      <c r="H12" s="640">
        <f>IFERROR(N(INDEX(Invoer!$I$38:$I$57,MATCH(6,Invoer!$BG$38:$BG$57,0))),0)</f>
        <v/>
      </c>
      <c r="I12" s="640">
        <f>IFERROR(N(INDEX(Invoer!$J$38:$J$57,MATCH(6,Invoer!$BG$38:$BG$57,0))),0)</f>
        <v/>
      </c>
      <c r="J12" s="640">
        <f>IFERROR(N(INDEX(Invoer!$K$38:$K$57,MATCH(6,Invoer!$BG$38:$BG$57,0))),0)</f>
        <v/>
      </c>
      <c r="K12" s="414">
        <f>IFERROR(IF(INDEX(Invoer!$L$38:$L$57,MATCH(6,Invoer!$BG$38:$BG$57,0))="","",INDEX(Invoer!$L$38:$L$57,MATCH(6,Invoer!$BG$38:$BG$57,0))),"")</f>
        <v/>
      </c>
      <c r="L12" s="642">
        <f>IFERROR(N(INDEX(Invoer!$M$38:$M$57,MATCH(6,Invoer!$BG$38:$BG$57,0))),0)</f>
        <v/>
      </c>
      <c r="M12" s="419">
        <f>IFERROR(IF(INDEX(Invoer!$BK$38:$BK$57,MATCH(6,Invoer!$BG$38:$BG$57,0))="","",INDEX(Invoer!$BK$38:$BK$57,MATCH(6,Invoer!$BG$38:$BG$57,0))),"")</f>
        <v/>
      </c>
      <c r="N12" s="419">
        <f>IFERROR(IF(INDEX(Invoer!$BL$38:$BL$57,MATCH(6,Invoer!$BG$38:$BG$57,0))="","",INDEX(Invoer!$BL$38:$BL$57,MATCH(6,Invoer!$BG$38:$BG$57,0))),"")</f>
        <v/>
      </c>
      <c r="O12" s="419">
        <f>IFERROR(IF(INDEX(Invoer!$BM$38:$BM$57,MATCH(6,Invoer!$BG$38:$BG$57,0))="","",INDEX(Invoer!$BM$38:$BM$57,MATCH(6,Invoer!$BG$38:$BG$57,0))),"")</f>
        <v/>
      </c>
      <c r="P12" s="419">
        <f>IFERROR(IF(INDEX(Invoer!$BN$38:$BN$57,MATCH(6,Invoer!$BG$38:$BG$57,0))="","",INDEX(Invoer!$BN$38:$BN$57,MATCH(6,Invoer!$BG$38:$BG$57,0))),"")</f>
        <v/>
      </c>
      <c r="Q12" s="419">
        <f>IFERROR(IF(INDEX(Invoer!$BO$38:$BO$57,MATCH(6,Invoer!$BG$38:$BG$57,0))="","",INDEX(Invoer!$BO$38:$BO$57,MATCH(6,Invoer!$BG$38:$BG$57,0))),"")</f>
        <v/>
      </c>
      <c r="R12" s="419">
        <f>IFERROR(IF(INDEX(Invoer!$BP$38:$BP$57,MATCH(6,Invoer!$BG$38:$BG$57,0))="","",INDEX(Invoer!$BP$38:$BP$57,MATCH(6,Invoer!$BG$38:$BG$57,0))),"")</f>
        <v/>
      </c>
      <c r="S12" s="450" t="n"/>
      <c r="T12" s="416">
        <f>IFERROR(IF(INDEX(Invoer!$Q$38:$Q$57,MATCH(6,Invoer!$BG$38:$BG$57,0))="","",INDEX(Invoer!$Q$38:$Q$57,MATCH(6,Invoer!$BG$38:$BG$57,0))),"")</f>
        <v/>
      </c>
      <c r="U12" s="450" t="n"/>
      <c r="V12" s="419">
        <f>IFERROR(IF(INDEX(Invoer!$R$38:$R$57,MATCH(6,Invoer!$BG$38:$BG$57,0))="","",INDEX(Invoer!$R$38:$R$57,MATCH(6,Invoer!$BG$38:$BG$57,0))),"")</f>
        <v/>
      </c>
      <c r="W12" s="450" t="n"/>
      <c r="X12" s="417">
        <f>IFERROR(IF(N(INDEX(Invoer!$BV$38:$BV$57,MATCH(6,Invoer!$BG$38:$BG$57,0)))=0,"",INDEX(Invoer!$BV$38:$BV$57,MATCH(6,Invoer!$BG$38:$BG$57,0))),"")</f>
        <v/>
      </c>
      <c r="Y12" s="419">
        <f>IFERROR(IF(INDEX(Invoer!$T$38:$T$57,MATCH(6,Invoer!$BG$38:$BG$57,0))="","",INDEX(Invoer!$T$38:$T$57,MATCH(6,Invoer!$BG$38:$BG$57,0))),"")</f>
        <v/>
      </c>
      <c r="AA12" s="419">
        <f>IFERROR(IF(INDEX(Invoer!$U$38:$U$57,MATCH(6,Invoer!$BG$38:$BG$57,0))="","",INDEX(Invoer!$U$38:$U$57,MATCH(6,Invoer!$BG$38:$BG$57,0))),"")</f>
        <v/>
      </c>
      <c r="AB12" s="419">
        <f>IFERROR(IF(INDEX(Invoer!$V$38:$V$57,MATCH(6,Invoer!$BG$38:$BG$57,0))="","",INDEX(Invoer!$V$38:$V$57,MATCH(6,Invoer!$BG$38:$BG$57,0))),"")</f>
        <v/>
      </c>
      <c r="AC12" s="419">
        <f>IFERROR(IF(INDEX(Invoer!$W$38:$W$57,MATCH(6,Invoer!$BG$38:$BG$57,0))="","",INDEX(Invoer!$W$38:$W$57,MATCH(6,Invoer!$BG$38:$BG$57,0))),"")</f>
        <v/>
      </c>
      <c r="AE12" s="642">
        <f>IFERROR(N(INDEX(Invoer!$X$38:$X$57,MATCH(6,Invoer!$BG$38:$BG$57,0))),0)</f>
        <v/>
      </c>
      <c r="AF12" s="642">
        <f>IFERROR(N(INDEX(Invoer!$Y$38:$Y$57,MATCH(6,Invoer!$BG$38:$BG$57,0))),0)</f>
        <v/>
      </c>
      <c r="AG12" s="642">
        <f>IFERROR(N(INDEX(Invoer!$Z$38:$Z$57,MATCH(6,Invoer!$BG$38:$BG$57,0))),0)</f>
        <v/>
      </c>
      <c r="AH12" s="642">
        <f>IFERROR(N(INDEX(Invoer!$AA$38:$AA$57,MATCH(6,Invoer!$BG$38:$BG$57,0))),0)</f>
        <v/>
      </c>
      <c r="AI12" s="642">
        <f>IFERROR(N(INDEX(Invoer!$AB$38:$AB$57,MATCH(6,Invoer!$BG$38:$BG$57,0))),0)</f>
        <v/>
      </c>
      <c r="AJ12" s="642">
        <f>IFERROR(N(INDEX(Invoer!$AC$38:$AC$57,MATCH(6,Invoer!$BG$38:$BG$57,0))),0)</f>
        <v/>
      </c>
      <c r="AL12" s="642">
        <f>IFERROR(N(INDEX(Invoer!$BC$38:$BC$57,MATCH(6,Invoer!$BG$38:$BG$57,0))),0)</f>
        <v/>
      </c>
      <c r="AN12" s="642">
        <f>IFERROR(N(INDEX(Invoer!$BD$38:$BD$57,MATCH(6,Invoer!$BG$38:$BG$57,0))),0)</f>
        <v/>
      </c>
      <c r="AO12" s="450" t="n"/>
      <c r="AP12" s="642">
        <f>IFERROR(N(INDEX(Invoer!$AD$38:$AD$57,MATCH(6,Invoer!$BG$38:$BG$57,0))),0)</f>
        <v/>
      </c>
      <c r="AR12" s="418">
        <f>(IF(X12&lt;&gt;"",(utwd*(IF(ISNUMBER(AE12),AE12,0))+uttd*(IF(ISNUMBER(AF12),AF12,0))+utsb*(IF(ISNUMBER(AG12),AG12,0))+utrw*(IF(ISNUMBER(AH12),AH12,0))+utd*(IF(ISNUMBER(AI12),AI12,0))+_ut3*(IF(ISNUMBER(AJ12),AJ12,0)) +(IF(ISNUMBER(AP12),AP12,0)))*(IF(Y12="j",1,IF(Y12="m",12,IF(Y12="w",52,IF(Y12="d",365,0)))))/X12,0))*L12</f>
        <v/>
      </c>
      <c r="AT12" s="642">
        <f>IFERROR(N(INDEX(Invoer!$AJ$38:$AJ$57,MATCH(6,Invoer!$BG$38:$BG$57,0))),0)</f>
        <v/>
      </c>
      <c r="AU12" s="450" t="n"/>
      <c r="AV12" s="420">
        <f>IFERROR(IF(INDEX(Invoer!$BE$38:$BE$57,MATCH(6,Invoer!$BG$38:$BG$57,0))="","",INDEX(Invoer!$BE$38:$BE$57,MATCH(6,Invoer!$BG$38:$BG$57,0))),"")</f>
        <v/>
      </c>
      <c r="AX12" s="519" t="n"/>
      <c r="AY12" s="418">
        <f>IF(ISBLANK(AX12),0,(IF(X12&lt;&gt;"",(utwd*(IF(ISNUMBER(AE12),AE12,0))+uttd*(IF(ISNUMBER(AF12),AF12,0))+utsb*(IF(ISNUMBER(AG12),AG12,0))+utrw*(IF(ISNUMBER(AH12),AH12,0))+utd*(IF(ISNUMBER(AI12),AI12,0))+_ut3*(IF(ISNUMBER(AJ12),AJ12,0)) +(IF(ISNUMBER(AP12),AP12,0))),0))*L12)</f>
        <v/>
      </c>
      <c r="AZ12" s="519" t="n"/>
      <c r="BA12" s="418">
        <f>IF(ISBLANK(AZ12),0,(IF(X12&lt;&gt;"",(utwd*(IF(ISNUMBER(AE12),AE12,0))+uttd*(IF(ISNUMBER(AF12),AF12,0))+utsb*(IF(ISNUMBER(AG12),AG12,0))+utrw*(IF(ISNUMBER(AH12),AH12,0))+utd*(IF(ISNUMBER(AI12),AI12,0))+_ut3*(IF(ISNUMBER(AJ12),AJ12,0)) +(IF(ISNUMBER(AP12),AP12,0))),0))*L12)</f>
        <v/>
      </c>
      <c r="BB12" s="519" t="n"/>
      <c r="BC12" s="418">
        <f>IF(ISBLANK(BB12),0,(IF(X12&lt;&gt;"",(utwd*(IF(ISNUMBER(AE12),AE12,0))+uttd*(IF(ISNUMBER(AF12),AF12,0))+utsb*(IF(ISNUMBER(AG12),AG12,0))+utrw*(IF(ISNUMBER(AH12),AH12,0))+utd*(IF(ISNUMBER(AI12),AI12,0))+_ut3*(IF(ISNUMBER(AJ12),AJ12,0)) +(IF(ISNUMBER(AP12),AP12,0))),0))*L12)</f>
        <v/>
      </c>
    </row>
    <row r="13" ht="9.949999999999999" customHeight="1" s="189">
      <c r="A13" s="640">
        <f>IFERROR(N(INDEX(Invoer!$B$38:$B$57,MATCH(7,Invoer!$BG$38:$BG$57,0))),0)</f>
        <v/>
      </c>
      <c r="B13" s="640">
        <f>IFERROR(N(INDEX(Invoer!$C$38:$C$57,MATCH(7,Invoer!$BG$38:$BG$57,0))),0)</f>
        <v/>
      </c>
      <c r="C13" s="640">
        <f>IFERROR(N(INDEX(Invoer!$D$38:$D$57,MATCH(7,Invoer!$BG$38:$BG$57,0))),0)</f>
        <v/>
      </c>
      <c r="D13" s="640">
        <f>IFERROR(N(INDEX(Invoer!$E$38:$E$57,MATCH(7,Invoer!$BG$38:$BG$57,0))),0)</f>
        <v/>
      </c>
      <c r="E13" s="640">
        <f>IFERROR(N(INDEX(Invoer!$F$38:$F$57,MATCH(7,Invoer!$BG$38:$BG$57,0))),0)</f>
        <v/>
      </c>
      <c r="F13" s="640">
        <f>IFERROR(N(INDEX(Invoer!$G$38:$G$57,MATCH(7,Invoer!$BG$38:$BG$57,0))),0)</f>
        <v/>
      </c>
      <c r="G13" s="640">
        <f>IFERROR(N(INDEX(Invoer!$H$38:$H$57,MATCH(7,Invoer!$BG$38:$BG$57,0))),0)</f>
        <v/>
      </c>
      <c r="H13" s="640">
        <f>IFERROR(N(INDEX(Invoer!$I$38:$I$57,MATCH(7,Invoer!$BG$38:$BG$57,0))),0)</f>
        <v/>
      </c>
      <c r="I13" s="640">
        <f>IFERROR(N(INDEX(Invoer!$J$38:$J$57,MATCH(7,Invoer!$BG$38:$BG$57,0))),0)</f>
        <v/>
      </c>
      <c r="J13" s="640">
        <f>IFERROR(N(INDEX(Invoer!$K$38:$K$57,MATCH(7,Invoer!$BG$38:$BG$57,0))),0)</f>
        <v/>
      </c>
      <c r="K13" s="414">
        <f>IFERROR(IF(INDEX(Invoer!$L$38:$L$57,MATCH(7,Invoer!$BG$38:$BG$57,0))="","",INDEX(Invoer!$L$38:$L$57,MATCH(7,Invoer!$BG$38:$BG$57,0))),"")</f>
        <v/>
      </c>
      <c r="L13" s="642">
        <f>IFERROR(N(INDEX(Invoer!$M$38:$M$57,MATCH(7,Invoer!$BG$38:$BG$57,0))),0)</f>
        <v/>
      </c>
      <c r="M13" s="419">
        <f>IFERROR(IF(INDEX(Invoer!$BK$38:$BK$57,MATCH(7,Invoer!$BG$38:$BG$57,0))="","",INDEX(Invoer!$BK$38:$BK$57,MATCH(7,Invoer!$BG$38:$BG$57,0))),"")</f>
        <v/>
      </c>
      <c r="N13" s="419">
        <f>IFERROR(IF(INDEX(Invoer!$BL$38:$BL$57,MATCH(7,Invoer!$BG$38:$BG$57,0))="","",INDEX(Invoer!$BL$38:$BL$57,MATCH(7,Invoer!$BG$38:$BG$57,0))),"")</f>
        <v/>
      </c>
      <c r="O13" s="419">
        <f>IFERROR(IF(INDEX(Invoer!$BM$38:$BM$57,MATCH(7,Invoer!$BG$38:$BG$57,0))="","",INDEX(Invoer!$BM$38:$BM$57,MATCH(7,Invoer!$BG$38:$BG$57,0))),"")</f>
        <v/>
      </c>
      <c r="P13" s="419">
        <f>IFERROR(IF(INDEX(Invoer!$BN$38:$BN$57,MATCH(7,Invoer!$BG$38:$BG$57,0))="","",INDEX(Invoer!$BN$38:$BN$57,MATCH(7,Invoer!$BG$38:$BG$57,0))),"")</f>
        <v/>
      </c>
      <c r="Q13" s="419">
        <f>IFERROR(IF(INDEX(Invoer!$BO$38:$BO$57,MATCH(7,Invoer!$BG$38:$BG$57,0))="","",INDEX(Invoer!$BO$38:$BO$57,MATCH(7,Invoer!$BG$38:$BG$57,0))),"")</f>
        <v/>
      </c>
      <c r="R13" s="419">
        <f>IFERROR(IF(INDEX(Invoer!$BP$38:$BP$57,MATCH(7,Invoer!$BG$38:$BG$57,0))="","",INDEX(Invoer!$BP$38:$BP$57,MATCH(7,Invoer!$BG$38:$BG$57,0))),"")</f>
        <v/>
      </c>
      <c r="S13" s="450" t="n"/>
      <c r="T13" s="416">
        <f>IFERROR(IF(INDEX(Invoer!$Q$38:$Q$57,MATCH(7,Invoer!$BG$38:$BG$57,0))="","",INDEX(Invoer!$Q$38:$Q$57,MATCH(7,Invoer!$BG$38:$BG$57,0))),"")</f>
        <v/>
      </c>
      <c r="U13" s="450" t="n"/>
      <c r="V13" s="419">
        <f>IFERROR(IF(INDEX(Invoer!$R$38:$R$57,MATCH(7,Invoer!$BG$38:$BG$57,0))="","",INDEX(Invoer!$R$38:$R$57,MATCH(7,Invoer!$BG$38:$BG$57,0))),"")</f>
        <v/>
      </c>
      <c r="W13" s="450" t="n"/>
      <c r="X13" s="417">
        <f>IFERROR(IF(N(INDEX(Invoer!$BV$38:$BV$57,MATCH(7,Invoer!$BG$38:$BG$57,0)))=0,"",INDEX(Invoer!$BV$38:$BV$57,MATCH(7,Invoer!$BG$38:$BG$57,0))),"")</f>
        <v/>
      </c>
      <c r="Y13" s="419">
        <f>IFERROR(IF(INDEX(Invoer!$T$38:$T$57,MATCH(7,Invoer!$BG$38:$BG$57,0))="","",INDEX(Invoer!$T$38:$T$57,MATCH(7,Invoer!$BG$38:$BG$57,0))),"")</f>
        <v/>
      </c>
      <c r="AA13" s="419">
        <f>IFERROR(IF(INDEX(Invoer!$U$38:$U$57,MATCH(7,Invoer!$BG$38:$BG$57,0))="","",INDEX(Invoer!$U$38:$U$57,MATCH(7,Invoer!$BG$38:$BG$57,0))),"")</f>
        <v/>
      </c>
      <c r="AB13" s="419">
        <f>IFERROR(IF(INDEX(Invoer!$V$38:$V$57,MATCH(7,Invoer!$BG$38:$BG$57,0))="","",INDEX(Invoer!$V$38:$V$57,MATCH(7,Invoer!$BG$38:$BG$57,0))),"")</f>
        <v/>
      </c>
      <c r="AC13" s="419">
        <f>IFERROR(IF(INDEX(Invoer!$W$38:$W$57,MATCH(7,Invoer!$BG$38:$BG$57,0))="","",INDEX(Invoer!$W$38:$W$57,MATCH(7,Invoer!$BG$38:$BG$57,0))),"")</f>
        <v/>
      </c>
      <c r="AE13" s="642">
        <f>IFERROR(N(INDEX(Invoer!$X$38:$X$57,MATCH(7,Invoer!$BG$38:$BG$57,0))),0)</f>
        <v/>
      </c>
      <c r="AF13" s="642">
        <f>IFERROR(N(INDEX(Invoer!$Y$38:$Y$57,MATCH(7,Invoer!$BG$38:$BG$57,0))),0)</f>
        <v/>
      </c>
      <c r="AG13" s="642">
        <f>IFERROR(N(INDEX(Invoer!$Z$38:$Z$57,MATCH(7,Invoer!$BG$38:$BG$57,0))),0)</f>
        <v/>
      </c>
      <c r="AH13" s="642">
        <f>IFERROR(N(INDEX(Invoer!$AA$38:$AA$57,MATCH(7,Invoer!$BG$38:$BG$57,0))),0)</f>
        <v/>
      </c>
      <c r="AI13" s="642">
        <f>IFERROR(N(INDEX(Invoer!$AB$38:$AB$57,MATCH(7,Invoer!$BG$38:$BG$57,0))),0)</f>
        <v/>
      </c>
      <c r="AJ13" s="642">
        <f>IFERROR(N(INDEX(Invoer!$AC$38:$AC$57,MATCH(7,Invoer!$BG$38:$BG$57,0))),0)</f>
        <v/>
      </c>
      <c r="AL13" s="642">
        <f>IFERROR(N(INDEX(Invoer!$BC$38:$BC$57,MATCH(7,Invoer!$BG$38:$BG$57,0))),0)</f>
        <v/>
      </c>
      <c r="AN13" s="642">
        <f>IFERROR(N(INDEX(Invoer!$BD$38:$BD$57,MATCH(7,Invoer!$BG$38:$BG$57,0))),0)</f>
        <v/>
      </c>
      <c r="AO13" s="450" t="n"/>
      <c r="AP13" s="642">
        <f>IFERROR(N(INDEX(Invoer!$AD$38:$AD$57,MATCH(7,Invoer!$BG$38:$BG$57,0))),0)</f>
        <v/>
      </c>
      <c r="AR13" s="418">
        <f>(IF(X13&lt;&gt;"",(utwd*(IF(ISNUMBER(AE13),AE13,0))+uttd*(IF(ISNUMBER(AF13),AF13,0))+utsb*(IF(ISNUMBER(AG13),AG13,0))+utrw*(IF(ISNUMBER(AH13),AH13,0))+utd*(IF(ISNUMBER(AI13),AI13,0))+_ut3*(IF(ISNUMBER(AJ13),AJ13,0)) +(IF(ISNUMBER(AP13),AP13,0)))*(IF(Y13="j",1,IF(Y13="m",12,IF(Y13="w",52,IF(Y13="d",365,0)))))/X13,0))*L13</f>
        <v/>
      </c>
      <c r="AT13" s="642">
        <f>IFERROR(N(INDEX(Invoer!$AJ$38:$AJ$57,MATCH(7,Invoer!$BG$38:$BG$57,0))),0)</f>
        <v/>
      </c>
      <c r="AU13" s="450" t="n"/>
      <c r="AV13" s="420">
        <f>IFERROR(IF(INDEX(Invoer!$BE$38:$BE$57,MATCH(7,Invoer!$BG$38:$BG$57,0))="","",INDEX(Invoer!$BE$38:$BE$57,MATCH(7,Invoer!$BG$38:$BG$57,0))),"")</f>
        <v/>
      </c>
      <c r="AX13" s="519" t="n"/>
      <c r="AY13" s="418">
        <f>IF(ISBLANK(AX13),0,(IF(X13&lt;&gt;"",(utwd*(IF(ISNUMBER(AE13),AE13,0))+uttd*(IF(ISNUMBER(AF13),AF13,0))+utsb*(IF(ISNUMBER(AG13),AG13,0))+utrw*(IF(ISNUMBER(AH13),AH13,0))+utd*(IF(ISNUMBER(AI13),AI13,0))+_ut3*(IF(ISNUMBER(AJ13),AJ13,0)) +(IF(ISNUMBER(AP13),AP13,0))),0))*L13)</f>
        <v/>
      </c>
      <c r="AZ13" s="519" t="n"/>
      <c r="BA13" s="418">
        <f>IF(ISBLANK(AZ13),0,(IF(X13&lt;&gt;"",(utwd*(IF(ISNUMBER(AE13),AE13,0))+uttd*(IF(ISNUMBER(AF13),AF13,0))+utsb*(IF(ISNUMBER(AG13),AG13,0))+utrw*(IF(ISNUMBER(AH13),AH13,0))+utd*(IF(ISNUMBER(AI13),AI13,0))+_ut3*(IF(ISNUMBER(AJ13),AJ13,0)) +(IF(ISNUMBER(AP13),AP13,0))),0))*L13)</f>
        <v/>
      </c>
      <c r="BB13" s="519" t="n"/>
      <c r="BC13" s="418">
        <f>IF(ISBLANK(BB13),0,(IF(X13&lt;&gt;"",(utwd*(IF(ISNUMBER(AE13),AE13,0))+uttd*(IF(ISNUMBER(AF13),AF13,0))+utsb*(IF(ISNUMBER(AG13),AG13,0))+utrw*(IF(ISNUMBER(AH13),AH13,0))+utd*(IF(ISNUMBER(AI13),AI13,0))+_ut3*(IF(ISNUMBER(AJ13),AJ13,0)) +(IF(ISNUMBER(AP13),AP13,0))),0))*L13)</f>
        <v/>
      </c>
    </row>
    <row r="14" ht="9.949999999999999" customHeight="1" s="189">
      <c r="A14" s="640">
        <f>IFERROR(N(INDEX(Invoer!$B$38:$B$57,MATCH(8,Invoer!$BG$38:$BG$57,0))),0)</f>
        <v/>
      </c>
      <c r="B14" s="640">
        <f>IFERROR(N(INDEX(Invoer!$C$38:$C$57,MATCH(8,Invoer!$BG$38:$BG$57,0))),0)</f>
        <v/>
      </c>
      <c r="C14" s="640">
        <f>IFERROR(N(INDEX(Invoer!$D$38:$D$57,MATCH(8,Invoer!$BG$38:$BG$57,0))),0)</f>
        <v/>
      </c>
      <c r="D14" s="640">
        <f>IFERROR(N(INDEX(Invoer!$E$38:$E$57,MATCH(8,Invoer!$BG$38:$BG$57,0))),0)</f>
        <v/>
      </c>
      <c r="E14" s="640">
        <f>IFERROR(N(INDEX(Invoer!$F$38:$F$57,MATCH(8,Invoer!$BG$38:$BG$57,0))),0)</f>
        <v/>
      </c>
      <c r="F14" s="640">
        <f>IFERROR(N(INDEX(Invoer!$G$38:$G$57,MATCH(8,Invoer!$BG$38:$BG$57,0))),0)</f>
        <v/>
      </c>
      <c r="G14" s="640">
        <f>IFERROR(N(INDEX(Invoer!$H$38:$H$57,MATCH(8,Invoer!$BG$38:$BG$57,0))),0)</f>
        <v/>
      </c>
      <c r="H14" s="640">
        <f>IFERROR(N(INDEX(Invoer!$I$38:$I$57,MATCH(8,Invoer!$BG$38:$BG$57,0))),0)</f>
        <v/>
      </c>
      <c r="I14" s="640">
        <f>IFERROR(N(INDEX(Invoer!$J$38:$J$57,MATCH(8,Invoer!$BG$38:$BG$57,0))),0)</f>
        <v/>
      </c>
      <c r="J14" s="640">
        <f>IFERROR(N(INDEX(Invoer!$K$38:$K$57,MATCH(8,Invoer!$BG$38:$BG$57,0))),0)</f>
        <v/>
      </c>
      <c r="K14" s="414">
        <f>IFERROR(IF(INDEX(Invoer!$L$38:$L$57,MATCH(8,Invoer!$BG$38:$BG$57,0))="","",INDEX(Invoer!$L$38:$L$57,MATCH(8,Invoer!$BG$38:$BG$57,0))),"")</f>
        <v/>
      </c>
      <c r="L14" s="642">
        <f>IFERROR(N(INDEX(Invoer!$M$38:$M$57,MATCH(8,Invoer!$BG$38:$BG$57,0))),0)</f>
        <v/>
      </c>
      <c r="M14" s="419">
        <f>IFERROR(IF(INDEX(Invoer!$BK$38:$BK$57,MATCH(8,Invoer!$BG$38:$BG$57,0))="","",INDEX(Invoer!$BK$38:$BK$57,MATCH(8,Invoer!$BG$38:$BG$57,0))),"")</f>
        <v/>
      </c>
      <c r="N14" s="419">
        <f>IFERROR(IF(INDEX(Invoer!$BL$38:$BL$57,MATCH(8,Invoer!$BG$38:$BG$57,0))="","",INDEX(Invoer!$BL$38:$BL$57,MATCH(8,Invoer!$BG$38:$BG$57,0))),"")</f>
        <v/>
      </c>
      <c r="O14" s="419">
        <f>IFERROR(IF(INDEX(Invoer!$BM$38:$BM$57,MATCH(8,Invoer!$BG$38:$BG$57,0))="","",INDEX(Invoer!$BM$38:$BM$57,MATCH(8,Invoer!$BG$38:$BG$57,0))),"")</f>
        <v/>
      </c>
      <c r="P14" s="419">
        <f>IFERROR(IF(INDEX(Invoer!$BN$38:$BN$57,MATCH(8,Invoer!$BG$38:$BG$57,0))="","",INDEX(Invoer!$BN$38:$BN$57,MATCH(8,Invoer!$BG$38:$BG$57,0))),"")</f>
        <v/>
      </c>
      <c r="Q14" s="419">
        <f>IFERROR(IF(INDEX(Invoer!$BO$38:$BO$57,MATCH(8,Invoer!$BG$38:$BG$57,0))="","",INDEX(Invoer!$BO$38:$BO$57,MATCH(8,Invoer!$BG$38:$BG$57,0))),"")</f>
        <v/>
      </c>
      <c r="R14" s="419">
        <f>IFERROR(IF(INDEX(Invoer!$BP$38:$BP$57,MATCH(8,Invoer!$BG$38:$BG$57,0))="","",INDEX(Invoer!$BP$38:$BP$57,MATCH(8,Invoer!$BG$38:$BG$57,0))),"")</f>
        <v/>
      </c>
      <c r="S14" s="450" t="n"/>
      <c r="T14" s="416">
        <f>IFERROR(IF(INDEX(Invoer!$Q$38:$Q$57,MATCH(8,Invoer!$BG$38:$BG$57,0))="","",INDEX(Invoer!$Q$38:$Q$57,MATCH(8,Invoer!$BG$38:$BG$57,0))),"")</f>
        <v/>
      </c>
      <c r="U14" s="450" t="n"/>
      <c r="V14" s="419">
        <f>IFERROR(IF(INDEX(Invoer!$R$38:$R$57,MATCH(8,Invoer!$BG$38:$BG$57,0))="","",INDEX(Invoer!$R$38:$R$57,MATCH(8,Invoer!$BG$38:$BG$57,0))),"")</f>
        <v/>
      </c>
      <c r="W14" s="450" t="n"/>
      <c r="X14" s="417">
        <f>IFERROR(IF(N(INDEX(Invoer!$BV$38:$BV$57,MATCH(8,Invoer!$BG$38:$BG$57,0)))=0,"",INDEX(Invoer!$BV$38:$BV$57,MATCH(8,Invoer!$BG$38:$BG$57,0))),"")</f>
        <v/>
      </c>
      <c r="Y14" s="419">
        <f>IFERROR(IF(INDEX(Invoer!$T$38:$T$57,MATCH(8,Invoer!$BG$38:$BG$57,0))="","",INDEX(Invoer!$T$38:$T$57,MATCH(8,Invoer!$BG$38:$BG$57,0))),"")</f>
        <v/>
      </c>
      <c r="AA14" s="419">
        <f>IFERROR(IF(INDEX(Invoer!$U$38:$U$57,MATCH(8,Invoer!$BG$38:$BG$57,0))="","",INDEX(Invoer!$U$38:$U$57,MATCH(8,Invoer!$BG$38:$BG$57,0))),"")</f>
        <v/>
      </c>
      <c r="AB14" s="419">
        <f>IFERROR(IF(INDEX(Invoer!$V$38:$V$57,MATCH(8,Invoer!$BG$38:$BG$57,0))="","",INDEX(Invoer!$V$38:$V$57,MATCH(8,Invoer!$BG$38:$BG$57,0))),"")</f>
        <v/>
      </c>
      <c r="AC14" s="419">
        <f>IFERROR(IF(INDEX(Invoer!$W$38:$W$57,MATCH(8,Invoer!$BG$38:$BG$57,0))="","",INDEX(Invoer!$W$38:$W$57,MATCH(8,Invoer!$BG$38:$BG$57,0))),"")</f>
        <v/>
      </c>
      <c r="AE14" s="642">
        <f>IFERROR(N(INDEX(Invoer!$X$38:$X$57,MATCH(8,Invoer!$BG$38:$BG$57,0))),0)</f>
        <v/>
      </c>
      <c r="AF14" s="642">
        <f>IFERROR(N(INDEX(Invoer!$Y$38:$Y$57,MATCH(8,Invoer!$BG$38:$BG$57,0))),0)</f>
        <v/>
      </c>
      <c r="AG14" s="642">
        <f>IFERROR(N(INDEX(Invoer!$Z$38:$Z$57,MATCH(8,Invoer!$BG$38:$BG$57,0))),0)</f>
        <v/>
      </c>
      <c r="AH14" s="642">
        <f>IFERROR(N(INDEX(Invoer!$AA$38:$AA$57,MATCH(8,Invoer!$BG$38:$BG$57,0))),0)</f>
        <v/>
      </c>
      <c r="AI14" s="642">
        <f>IFERROR(N(INDEX(Invoer!$AB$38:$AB$57,MATCH(8,Invoer!$BG$38:$BG$57,0))),0)</f>
        <v/>
      </c>
      <c r="AJ14" s="642">
        <f>IFERROR(N(INDEX(Invoer!$AC$38:$AC$57,MATCH(8,Invoer!$BG$38:$BG$57,0))),0)</f>
        <v/>
      </c>
      <c r="AL14" s="642">
        <f>IFERROR(N(INDEX(Invoer!$BC$38:$BC$57,MATCH(8,Invoer!$BG$38:$BG$57,0))),0)</f>
        <v/>
      </c>
      <c r="AN14" s="642">
        <f>IFERROR(N(INDEX(Invoer!$BD$38:$BD$57,MATCH(8,Invoer!$BG$38:$BG$57,0))),0)</f>
        <v/>
      </c>
      <c r="AO14" s="450" t="n"/>
      <c r="AP14" s="642">
        <f>IFERROR(N(INDEX(Invoer!$AD$38:$AD$57,MATCH(8,Invoer!$BG$38:$BG$57,0))),0)</f>
        <v/>
      </c>
      <c r="AR14" s="418">
        <f>(IF(X14&lt;&gt;"",(utwd*(IF(ISNUMBER(AE14),AE14,0))+uttd*(IF(ISNUMBER(AF14),AF14,0))+utsb*(IF(ISNUMBER(AG14),AG14,0))+utrw*(IF(ISNUMBER(AH14),AH14,0))+utd*(IF(ISNUMBER(AI14),AI14,0))+_ut3*(IF(ISNUMBER(AJ14),AJ14,0)) +(IF(ISNUMBER(AP14),AP14,0)))*(IF(Y14="j",1,IF(Y14="m",12,IF(Y14="w",52,IF(Y14="d",365,0)))))/X14,0))*L14</f>
        <v/>
      </c>
      <c r="AT14" s="642">
        <f>IFERROR(N(INDEX(Invoer!$AJ$38:$AJ$57,MATCH(8,Invoer!$BG$38:$BG$57,0))),0)</f>
        <v/>
      </c>
      <c r="AU14" s="450" t="n"/>
      <c r="AV14" s="420">
        <f>IFERROR(IF(INDEX(Invoer!$BE$38:$BE$57,MATCH(8,Invoer!$BG$38:$BG$57,0))="","",INDEX(Invoer!$BE$38:$BE$57,MATCH(8,Invoer!$BG$38:$BG$57,0))),"")</f>
        <v/>
      </c>
      <c r="AX14" s="519" t="n"/>
      <c r="AY14" s="418">
        <f>IF(ISBLANK(AX14),0,(IF(X14&lt;&gt;"",(utwd*(IF(ISNUMBER(AE14),AE14,0))+uttd*(IF(ISNUMBER(AF14),AF14,0))+utsb*(IF(ISNUMBER(AG14),AG14,0))+utrw*(IF(ISNUMBER(AH14),AH14,0))+utd*(IF(ISNUMBER(AI14),AI14,0))+_ut3*(IF(ISNUMBER(AJ14),AJ14,0)) +(IF(ISNUMBER(AP14),AP14,0))),0))*L14)</f>
        <v/>
      </c>
      <c r="AZ14" s="519" t="n"/>
      <c r="BA14" s="418">
        <f>IF(ISBLANK(AZ14),0,(IF(X14&lt;&gt;"",(utwd*(IF(ISNUMBER(AE14),AE14,0))+uttd*(IF(ISNUMBER(AF14),AF14,0))+utsb*(IF(ISNUMBER(AG14),AG14,0))+utrw*(IF(ISNUMBER(AH14),AH14,0))+utd*(IF(ISNUMBER(AI14),AI14,0))+_ut3*(IF(ISNUMBER(AJ14),AJ14,0)) +(IF(ISNUMBER(AP14),AP14,0))),0))*L14)</f>
        <v/>
      </c>
      <c r="BB14" s="519" t="n"/>
      <c r="BC14" s="418">
        <f>IF(ISBLANK(BB14),0,(IF(X14&lt;&gt;"",(utwd*(IF(ISNUMBER(AE14),AE14,0))+uttd*(IF(ISNUMBER(AF14),AF14,0))+utsb*(IF(ISNUMBER(AG14),AG14,0))+utrw*(IF(ISNUMBER(AH14),AH14,0))+utd*(IF(ISNUMBER(AI14),AI14,0))+_ut3*(IF(ISNUMBER(AJ14),AJ14,0)) +(IF(ISNUMBER(AP14),AP14,0))),0))*L14)</f>
        <v/>
      </c>
    </row>
    <row r="15" ht="9.949999999999999" customHeight="1" s="189">
      <c r="A15" s="640">
        <f>IFERROR(N(INDEX(Invoer!$B$38:$B$57,MATCH(9,Invoer!$BG$38:$BG$57,0))),0)</f>
        <v/>
      </c>
      <c r="B15" s="640">
        <f>IFERROR(N(INDEX(Invoer!$C$38:$C$57,MATCH(9,Invoer!$BG$38:$BG$57,0))),0)</f>
        <v/>
      </c>
      <c r="C15" s="640">
        <f>IFERROR(N(INDEX(Invoer!$D$38:$D$57,MATCH(9,Invoer!$BG$38:$BG$57,0))),0)</f>
        <v/>
      </c>
      <c r="D15" s="640">
        <f>IFERROR(N(INDEX(Invoer!$E$38:$E$57,MATCH(9,Invoer!$BG$38:$BG$57,0))),0)</f>
        <v/>
      </c>
      <c r="E15" s="640">
        <f>IFERROR(N(INDEX(Invoer!$F$38:$F$57,MATCH(9,Invoer!$BG$38:$BG$57,0))),0)</f>
        <v/>
      </c>
      <c r="F15" s="640">
        <f>IFERROR(N(INDEX(Invoer!$G$38:$G$57,MATCH(9,Invoer!$BG$38:$BG$57,0))),0)</f>
        <v/>
      </c>
      <c r="G15" s="640">
        <f>IFERROR(N(INDEX(Invoer!$H$38:$H$57,MATCH(9,Invoer!$BG$38:$BG$57,0))),0)</f>
        <v/>
      </c>
      <c r="H15" s="640">
        <f>IFERROR(N(INDEX(Invoer!$I$38:$I$57,MATCH(9,Invoer!$BG$38:$BG$57,0))),0)</f>
        <v/>
      </c>
      <c r="I15" s="640">
        <f>IFERROR(N(INDEX(Invoer!$J$38:$J$57,MATCH(9,Invoer!$BG$38:$BG$57,0))),0)</f>
        <v/>
      </c>
      <c r="J15" s="640">
        <f>IFERROR(N(INDEX(Invoer!$K$38:$K$57,MATCH(9,Invoer!$BG$38:$BG$57,0))),0)</f>
        <v/>
      </c>
      <c r="K15" s="414">
        <f>IFERROR(IF(INDEX(Invoer!$L$38:$L$57,MATCH(9,Invoer!$BG$38:$BG$57,0))="","",INDEX(Invoer!$L$38:$L$57,MATCH(9,Invoer!$BG$38:$BG$57,0))),"")</f>
        <v/>
      </c>
      <c r="L15" s="642">
        <f>IFERROR(N(INDEX(Invoer!$M$38:$M$57,MATCH(9,Invoer!$BG$38:$BG$57,0))),0)</f>
        <v/>
      </c>
      <c r="M15" s="419">
        <f>IFERROR(IF(INDEX(Invoer!$BK$38:$BK$57,MATCH(9,Invoer!$BG$38:$BG$57,0))="","",INDEX(Invoer!$BK$38:$BK$57,MATCH(9,Invoer!$BG$38:$BG$57,0))),"")</f>
        <v/>
      </c>
      <c r="N15" s="419">
        <f>IFERROR(IF(INDEX(Invoer!$BL$38:$BL$57,MATCH(9,Invoer!$BG$38:$BG$57,0))="","",INDEX(Invoer!$BL$38:$BL$57,MATCH(9,Invoer!$BG$38:$BG$57,0))),"")</f>
        <v/>
      </c>
      <c r="O15" s="419">
        <f>IFERROR(IF(INDEX(Invoer!$BM$38:$BM$57,MATCH(9,Invoer!$BG$38:$BG$57,0))="","",INDEX(Invoer!$BM$38:$BM$57,MATCH(9,Invoer!$BG$38:$BG$57,0))),"")</f>
        <v/>
      </c>
      <c r="P15" s="419">
        <f>IFERROR(IF(INDEX(Invoer!$BN$38:$BN$57,MATCH(9,Invoer!$BG$38:$BG$57,0))="","",INDEX(Invoer!$BN$38:$BN$57,MATCH(9,Invoer!$BG$38:$BG$57,0))),"")</f>
        <v/>
      </c>
      <c r="Q15" s="419">
        <f>IFERROR(IF(INDEX(Invoer!$BO$38:$BO$57,MATCH(9,Invoer!$BG$38:$BG$57,0))="","",INDEX(Invoer!$BO$38:$BO$57,MATCH(9,Invoer!$BG$38:$BG$57,0))),"")</f>
        <v/>
      </c>
      <c r="R15" s="419">
        <f>IFERROR(IF(INDEX(Invoer!$BP$38:$BP$57,MATCH(9,Invoer!$BG$38:$BG$57,0))="","",INDEX(Invoer!$BP$38:$BP$57,MATCH(9,Invoer!$BG$38:$BG$57,0))),"")</f>
        <v/>
      </c>
      <c r="S15" s="450" t="n"/>
      <c r="T15" s="416">
        <f>IFERROR(IF(INDEX(Invoer!$Q$38:$Q$57,MATCH(9,Invoer!$BG$38:$BG$57,0))="","",INDEX(Invoer!$Q$38:$Q$57,MATCH(9,Invoer!$BG$38:$BG$57,0))),"")</f>
        <v/>
      </c>
      <c r="U15" s="450" t="n"/>
      <c r="V15" s="419">
        <f>IFERROR(IF(INDEX(Invoer!$R$38:$R$57,MATCH(9,Invoer!$BG$38:$BG$57,0))="","",INDEX(Invoer!$R$38:$R$57,MATCH(9,Invoer!$BG$38:$BG$57,0))),"")</f>
        <v/>
      </c>
      <c r="W15" s="450" t="n"/>
      <c r="X15" s="417">
        <f>IFERROR(IF(N(INDEX(Invoer!$BV$38:$BV$57,MATCH(9,Invoer!$BG$38:$BG$57,0)))=0,"",INDEX(Invoer!$BV$38:$BV$57,MATCH(9,Invoer!$BG$38:$BG$57,0))),"")</f>
        <v/>
      </c>
      <c r="Y15" s="419">
        <f>IFERROR(IF(INDEX(Invoer!$T$38:$T$57,MATCH(9,Invoer!$BG$38:$BG$57,0))="","",INDEX(Invoer!$T$38:$T$57,MATCH(9,Invoer!$BG$38:$BG$57,0))),"")</f>
        <v/>
      </c>
      <c r="AA15" s="419">
        <f>IFERROR(IF(INDEX(Invoer!$U$38:$U$57,MATCH(9,Invoer!$BG$38:$BG$57,0))="","",INDEX(Invoer!$U$38:$U$57,MATCH(9,Invoer!$BG$38:$BG$57,0))),"")</f>
        <v/>
      </c>
      <c r="AB15" s="419">
        <f>IFERROR(IF(INDEX(Invoer!$V$38:$V$57,MATCH(9,Invoer!$BG$38:$BG$57,0))="","",INDEX(Invoer!$V$38:$V$57,MATCH(9,Invoer!$BG$38:$BG$57,0))),"")</f>
        <v/>
      </c>
      <c r="AC15" s="419">
        <f>IFERROR(IF(INDEX(Invoer!$W$38:$W$57,MATCH(9,Invoer!$BG$38:$BG$57,0))="","",INDEX(Invoer!$W$38:$W$57,MATCH(9,Invoer!$BG$38:$BG$57,0))),"")</f>
        <v/>
      </c>
      <c r="AE15" s="642">
        <f>IFERROR(N(INDEX(Invoer!$X$38:$X$57,MATCH(9,Invoer!$BG$38:$BG$57,0))),0)</f>
        <v/>
      </c>
      <c r="AF15" s="642">
        <f>IFERROR(N(INDEX(Invoer!$Y$38:$Y$57,MATCH(9,Invoer!$BG$38:$BG$57,0))),0)</f>
        <v/>
      </c>
      <c r="AG15" s="642">
        <f>IFERROR(N(INDEX(Invoer!$Z$38:$Z$57,MATCH(9,Invoer!$BG$38:$BG$57,0))),0)</f>
        <v/>
      </c>
      <c r="AH15" s="642">
        <f>IFERROR(N(INDEX(Invoer!$AA$38:$AA$57,MATCH(9,Invoer!$BG$38:$BG$57,0))),0)</f>
        <v/>
      </c>
      <c r="AI15" s="642">
        <f>IFERROR(N(INDEX(Invoer!$AB$38:$AB$57,MATCH(9,Invoer!$BG$38:$BG$57,0))),0)</f>
        <v/>
      </c>
      <c r="AJ15" s="642">
        <f>IFERROR(N(INDEX(Invoer!$AC$38:$AC$57,MATCH(9,Invoer!$BG$38:$BG$57,0))),0)</f>
        <v/>
      </c>
      <c r="AL15" s="642">
        <f>IFERROR(N(INDEX(Invoer!$BC$38:$BC$57,MATCH(9,Invoer!$BG$38:$BG$57,0))),0)</f>
        <v/>
      </c>
      <c r="AN15" s="642">
        <f>IFERROR(N(INDEX(Invoer!$BD$38:$BD$57,MATCH(9,Invoer!$BG$38:$BG$57,0))),0)</f>
        <v/>
      </c>
      <c r="AO15" s="450" t="n"/>
      <c r="AP15" s="642">
        <f>IFERROR(N(INDEX(Invoer!$AD$38:$AD$57,MATCH(9,Invoer!$BG$38:$BG$57,0))),0)</f>
        <v/>
      </c>
      <c r="AR15" s="418">
        <f>(IF(X15&lt;&gt;"",(utwd*(IF(ISNUMBER(AE15),AE15,0))+uttd*(IF(ISNUMBER(AF15),AF15,0))+utsb*(IF(ISNUMBER(AG15),AG15,0))+utrw*(IF(ISNUMBER(AH15),AH15,0))+utd*(IF(ISNUMBER(AI15),AI15,0))+_ut3*(IF(ISNUMBER(AJ15),AJ15,0)) +(IF(ISNUMBER(AP15),AP15,0)))*(IF(Y15="j",1,IF(Y15="m",12,IF(Y15="w",52,IF(Y15="d",365,0)))))/X15,0))*L15</f>
        <v/>
      </c>
      <c r="AT15" s="642">
        <f>IFERROR(N(INDEX(Invoer!$AJ$38:$AJ$57,MATCH(9,Invoer!$BG$38:$BG$57,0))),0)</f>
        <v/>
      </c>
      <c r="AU15" s="450" t="n"/>
      <c r="AV15" s="420">
        <f>IFERROR(IF(INDEX(Invoer!$BE$38:$BE$57,MATCH(9,Invoer!$BG$38:$BG$57,0))="","",INDEX(Invoer!$BE$38:$BE$57,MATCH(9,Invoer!$BG$38:$BG$57,0))),"")</f>
        <v/>
      </c>
      <c r="AX15" s="519" t="n"/>
      <c r="AY15" s="418">
        <f>IF(ISBLANK(AX15),0,(IF(X15&lt;&gt;"",(utwd*(IF(ISNUMBER(AE15),AE15,0))+uttd*(IF(ISNUMBER(AF15),AF15,0))+utsb*(IF(ISNUMBER(AG15),AG15,0))+utrw*(IF(ISNUMBER(AH15),AH15,0))+utd*(IF(ISNUMBER(AI15),AI15,0))+_ut3*(IF(ISNUMBER(AJ15),AJ15,0)) +(IF(ISNUMBER(AP15),AP15,0))),0))*L15)</f>
        <v/>
      </c>
      <c r="AZ15" s="519" t="n"/>
      <c r="BA15" s="418">
        <f>IF(ISBLANK(AZ15),0,(IF(X15&lt;&gt;"",(utwd*(IF(ISNUMBER(AE15),AE15,0))+uttd*(IF(ISNUMBER(AF15),AF15,0))+utsb*(IF(ISNUMBER(AG15),AG15,0))+utrw*(IF(ISNUMBER(AH15),AH15,0))+utd*(IF(ISNUMBER(AI15),AI15,0))+_ut3*(IF(ISNUMBER(AJ15),AJ15,0)) +(IF(ISNUMBER(AP15),AP15,0))),0))*L15)</f>
        <v/>
      </c>
      <c r="BB15" s="519" t="n"/>
      <c r="BC15" s="418">
        <f>IF(ISBLANK(BB15),0,(IF(X15&lt;&gt;"",(utwd*(IF(ISNUMBER(AE15),AE15,0))+uttd*(IF(ISNUMBER(AF15),AF15,0))+utsb*(IF(ISNUMBER(AG15),AG15,0))+utrw*(IF(ISNUMBER(AH15),AH15,0))+utd*(IF(ISNUMBER(AI15),AI15,0))+_ut3*(IF(ISNUMBER(AJ15),AJ15,0)) +(IF(ISNUMBER(AP15),AP15,0))),0))*L15)</f>
        <v/>
      </c>
    </row>
    <row r="16" ht="9.949999999999999" customHeight="1" s="189">
      <c r="A16" s="640">
        <f>IFERROR(N(INDEX(Invoer!$B$38:$B$57,MATCH(10,Invoer!$BG$38:$BG$57,0))),0)</f>
        <v/>
      </c>
      <c r="B16" s="640">
        <f>IFERROR(N(INDEX(Invoer!$C$38:$C$57,MATCH(10,Invoer!$BG$38:$BG$57,0))),0)</f>
        <v/>
      </c>
      <c r="C16" s="640">
        <f>IFERROR(N(INDEX(Invoer!$D$38:$D$57,MATCH(10,Invoer!$BG$38:$BG$57,0))),0)</f>
        <v/>
      </c>
      <c r="D16" s="640">
        <f>IFERROR(N(INDEX(Invoer!$E$38:$E$57,MATCH(10,Invoer!$BG$38:$BG$57,0))),0)</f>
        <v/>
      </c>
      <c r="E16" s="640">
        <f>IFERROR(N(INDEX(Invoer!$F$38:$F$57,MATCH(10,Invoer!$BG$38:$BG$57,0))),0)</f>
        <v/>
      </c>
      <c r="F16" s="640">
        <f>IFERROR(N(INDEX(Invoer!$G$38:$G$57,MATCH(10,Invoer!$BG$38:$BG$57,0))),0)</f>
        <v/>
      </c>
      <c r="G16" s="640">
        <f>IFERROR(N(INDEX(Invoer!$H$38:$H$57,MATCH(10,Invoer!$BG$38:$BG$57,0))),0)</f>
        <v/>
      </c>
      <c r="H16" s="640">
        <f>IFERROR(N(INDEX(Invoer!$I$38:$I$57,MATCH(10,Invoer!$BG$38:$BG$57,0))),0)</f>
        <v/>
      </c>
      <c r="I16" s="640">
        <f>IFERROR(N(INDEX(Invoer!$J$38:$J$57,MATCH(10,Invoer!$BG$38:$BG$57,0))),0)</f>
        <v/>
      </c>
      <c r="J16" s="640">
        <f>IFERROR(N(INDEX(Invoer!$K$38:$K$57,MATCH(10,Invoer!$BG$38:$BG$57,0))),0)</f>
        <v/>
      </c>
      <c r="K16" s="414">
        <f>IFERROR(IF(INDEX(Invoer!$L$38:$L$57,MATCH(10,Invoer!$BG$38:$BG$57,0))="","",INDEX(Invoer!$L$38:$L$57,MATCH(10,Invoer!$BG$38:$BG$57,0))),"")</f>
        <v/>
      </c>
      <c r="L16" s="642">
        <f>IFERROR(N(INDEX(Invoer!$M$38:$M$57,MATCH(10,Invoer!$BG$38:$BG$57,0))),0)</f>
        <v/>
      </c>
      <c r="M16" s="419">
        <f>IFERROR(IF(INDEX(Invoer!$BK$38:$BK$57,MATCH(10,Invoer!$BG$38:$BG$57,0))="","",INDEX(Invoer!$BK$38:$BK$57,MATCH(10,Invoer!$BG$38:$BG$57,0))),"")</f>
        <v/>
      </c>
      <c r="N16" s="419">
        <f>IFERROR(IF(INDEX(Invoer!$BL$38:$BL$57,MATCH(10,Invoer!$BG$38:$BG$57,0))="","",INDEX(Invoer!$BL$38:$BL$57,MATCH(10,Invoer!$BG$38:$BG$57,0))),"")</f>
        <v/>
      </c>
      <c r="O16" s="419">
        <f>IFERROR(IF(INDEX(Invoer!$BM$38:$BM$57,MATCH(10,Invoer!$BG$38:$BG$57,0))="","",INDEX(Invoer!$BM$38:$BM$57,MATCH(10,Invoer!$BG$38:$BG$57,0))),"")</f>
        <v/>
      </c>
      <c r="P16" s="419">
        <f>IFERROR(IF(INDEX(Invoer!$BN$38:$BN$57,MATCH(10,Invoer!$BG$38:$BG$57,0))="","",INDEX(Invoer!$BN$38:$BN$57,MATCH(10,Invoer!$BG$38:$BG$57,0))),"")</f>
        <v/>
      </c>
      <c r="Q16" s="419">
        <f>IFERROR(IF(INDEX(Invoer!$BO$38:$BO$57,MATCH(10,Invoer!$BG$38:$BG$57,0))="","",INDEX(Invoer!$BO$38:$BO$57,MATCH(10,Invoer!$BG$38:$BG$57,0))),"")</f>
        <v/>
      </c>
      <c r="R16" s="419">
        <f>IFERROR(IF(INDEX(Invoer!$BP$38:$BP$57,MATCH(10,Invoer!$BG$38:$BG$57,0))="","",INDEX(Invoer!$BP$38:$BP$57,MATCH(10,Invoer!$BG$38:$BG$57,0))),"")</f>
        <v/>
      </c>
      <c r="S16" s="450" t="n"/>
      <c r="T16" s="416">
        <f>IFERROR(IF(INDEX(Invoer!$Q$38:$Q$57,MATCH(10,Invoer!$BG$38:$BG$57,0))="","",INDEX(Invoer!$Q$38:$Q$57,MATCH(10,Invoer!$BG$38:$BG$57,0))),"")</f>
        <v/>
      </c>
      <c r="U16" s="450" t="n"/>
      <c r="V16" s="419">
        <f>IFERROR(IF(INDEX(Invoer!$R$38:$R$57,MATCH(10,Invoer!$BG$38:$BG$57,0))="","",INDEX(Invoer!$R$38:$R$57,MATCH(10,Invoer!$BG$38:$BG$57,0))),"")</f>
        <v/>
      </c>
      <c r="W16" s="450" t="n"/>
      <c r="X16" s="417">
        <f>IFERROR(IF(N(INDEX(Invoer!$BV$38:$BV$57,MATCH(10,Invoer!$BG$38:$BG$57,0)))=0,"",INDEX(Invoer!$BV$38:$BV$57,MATCH(10,Invoer!$BG$38:$BG$57,0))),"")</f>
        <v/>
      </c>
      <c r="Y16" s="419">
        <f>IFERROR(IF(INDEX(Invoer!$T$38:$T$57,MATCH(10,Invoer!$BG$38:$BG$57,0))="","",INDEX(Invoer!$T$38:$T$57,MATCH(10,Invoer!$BG$38:$BG$57,0))),"")</f>
        <v/>
      </c>
      <c r="AA16" s="419">
        <f>IFERROR(IF(INDEX(Invoer!$U$38:$U$57,MATCH(10,Invoer!$BG$38:$BG$57,0))="","",INDEX(Invoer!$U$38:$U$57,MATCH(10,Invoer!$BG$38:$BG$57,0))),"")</f>
        <v/>
      </c>
      <c r="AB16" s="419">
        <f>IFERROR(IF(INDEX(Invoer!$V$38:$V$57,MATCH(10,Invoer!$BG$38:$BG$57,0))="","",INDEX(Invoer!$V$38:$V$57,MATCH(10,Invoer!$BG$38:$BG$57,0))),"")</f>
        <v/>
      </c>
      <c r="AC16" s="419">
        <f>IFERROR(IF(INDEX(Invoer!$W$38:$W$57,MATCH(10,Invoer!$BG$38:$BG$57,0))="","",INDEX(Invoer!$W$38:$W$57,MATCH(10,Invoer!$BG$38:$BG$57,0))),"")</f>
        <v/>
      </c>
      <c r="AE16" s="642">
        <f>IFERROR(N(INDEX(Invoer!$X$38:$X$57,MATCH(10,Invoer!$BG$38:$BG$57,0))),0)</f>
        <v/>
      </c>
      <c r="AF16" s="642">
        <f>IFERROR(N(INDEX(Invoer!$Y$38:$Y$57,MATCH(10,Invoer!$BG$38:$BG$57,0))),0)</f>
        <v/>
      </c>
      <c r="AG16" s="642">
        <f>IFERROR(N(INDEX(Invoer!$Z$38:$Z$57,MATCH(10,Invoer!$BG$38:$BG$57,0))),0)</f>
        <v/>
      </c>
      <c r="AH16" s="642">
        <f>IFERROR(N(INDEX(Invoer!$AA$38:$AA$57,MATCH(10,Invoer!$BG$38:$BG$57,0))),0)</f>
        <v/>
      </c>
      <c r="AI16" s="642">
        <f>IFERROR(N(INDEX(Invoer!$AB$38:$AB$57,MATCH(10,Invoer!$BG$38:$BG$57,0))),0)</f>
        <v/>
      </c>
      <c r="AJ16" s="642">
        <f>IFERROR(N(INDEX(Invoer!$AC$38:$AC$57,MATCH(10,Invoer!$BG$38:$BG$57,0))),0)</f>
        <v/>
      </c>
      <c r="AL16" s="642">
        <f>IFERROR(N(INDEX(Invoer!$BC$38:$BC$57,MATCH(10,Invoer!$BG$38:$BG$57,0))),0)</f>
        <v/>
      </c>
      <c r="AN16" s="642">
        <f>IFERROR(N(INDEX(Invoer!$BD$38:$BD$57,MATCH(10,Invoer!$BG$38:$BG$57,0))),0)</f>
        <v/>
      </c>
      <c r="AO16" s="450" t="n"/>
      <c r="AP16" s="642">
        <f>IFERROR(N(INDEX(Invoer!$AD$38:$AD$57,MATCH(10,Invoer!$BG$38:$BG$57,0))),0)</f>
        <v/>
      </c>
      <c r="AR16" s="418">
        <f>(IF(X16&lt;&gt;"",(utwd*(IF(ISNUMBER(AE16),AE16,0))+uttd*(IF(ISNUMBER(AF16),AF16,0))+utsb*(IF(ISNUMBER(AG16),AG16,0))+utrw*(IF(ISNUMBER(AH16),AH16,0))+utd*(IF(ISNUMBER(AI16),AI16,0))+_ut3*(IF(ISNUMBER(AJ16),AJ16,0)) +(IF(ISNUMBER(AP16),AP16,0)))*(IF(Y16="j",1,IF(Y16="m",12,IF(Y16="w",52,IF(Y16="d",365,0)))))/X16,0))*L16</f>
        <v/>
      </c>
      <c r="AT16" s="642">
        <f>IFERROR(N(INDEX(Invoer!$AJ$38:$AJ$57,MATCH(10,Invoer!$BG$38:$BG$57,0))),0)</f>
        <v/>
      </c>
      <c r="AU16" s="450" t="n"/>
      <c r="AV16" s="420">
        <f>IFERROR(IF(INDEX(Invoer!$BE$38:$BE$57,MATCH(10,Invoer!$BG$38:$BG$57,0))="","",INDEX(Invoer!$BE$38:$BE$57,MATCH(10,Invoer!$BG$38:$BG$57,0))),"")</f>
        <v/>
      </c>
      <c r="AX16" s="519" t="n"/>
      <c r="AY16" s="418">
        <f>IF(ISBLANK(AX16),0,(IF(X16&lt;&gt;"",(utwd*(IF(ISNUMBER(AE16),AE16,0))+uttd*(IF(ISNUMBER(AF16),AF16,0))+utsb*(IF(ISNUMBER(AG16),AG16,0))+utrw*(IF(ISNUMBER(AH16),AH16,0))+utd*(IF(ISNUMBER(AI16),AI16,0))+_ut3*(IF(ISNUMBER(AJ16),AJ16,0)) +(IF(ISNUMBER(AP16),AP16,0))),0))*L16)</f>
        <v/>
      </c>
      <c r="AZ16" s="519" t="n"/>
      <c r="BA16" s="418">
        <f>IF(ISBLANK(AZ16),0,(IF(X16&lt;&gt;"",(utwd*(IF(ISNUMBER(AE16),AE16,0))+uttd*(IF(ISNUMBER(AF16),AF16,0))+utsb*(IF(ISNUMBER(AG16),AG16,0))+utrw*(IF(ISNUMBER(AH16),AH16,0))+utd*(IF(ISNUMBER(AI16),AI16,0))+_ut3*(IF(ISNUMBER(AJ16),AJ16,0)) +(IF(ISNUMBER(AP16),AP16,0))),0))*L16)</f>
        <v/>
      </c>
      <c r="BB16" s="519" t="n"/>
      <c r="BC16" s="418">
        <f>IF(ISBLANK(BB16),0,(IF(X16&lt;&gt;"",(utwd*(IF(ISNUMBER(AE16),AE16,0))+uttd*(IF(ISNUMBER(AF16),AF16,0))+utsb*(IF(ISNUMBER(AG16),AG16,0))+utrw*(IF(ISNUMBER(AH16),AH16,0))+utd*(IF(ISNUMBER(AI16),AI16,0))+_ut3*(IF(ISNUMBER(AJ16),AJ16,0)) +(IF(ISNUMBER(AP16),AP16,0))),0))*L16)</f>
        <v/>
      </c>
    </row>
    <row r="17" ht="9.949999999999999" customHeight="1" s="189">
      <c r="A17" s="640">
        <f>IFERROR(N(INDEX(Invoer!$B$38:$B$57,MATCH(11,Invoer!$BG$38:$BG$57,0))),0)</f>
        <v/>
      </c>
      <c r="B17" s="640">
        <f>IFERROR(N(INDEX(Invoer!$C$38:$C$57,MATCH(11,Invoer!$BG$38:$BG$57,0))),0)</f>
        <v/>
      </c>
      <c r="C17" s="640">
        <f>IFERROR(N(INDEX(Invoer!$D$38:$D$57,MATCH(11,Invoer!$BG$38:$BG$57,0))),0)</f>
        <v/>
      </c>
      <c r="D17" s="640">
        <f>IFERROR(N(INDEX(Invoer!$E$38:$E$57,MATCH(11,Invoer!$BG$38:$BG$57,0))),0)</f>
        <v/>
      </c>
      <c r="E17" s="640">
        <f>IFERROR(N(INDEX(Invoer!$F$38:$F$57,MATCH(11,Invoer!$BG$38:$BG$57,0))),0)</f>
        <v/>
      </c>
      <c r="F17" s="640">
        <f>IFERROR(N(INDEX(Invoer!$G$38:$G$57,MATCH(11,Invoer!$BG$38:$BG$57,0))),0)</f>
        <v/>
      </c>
      <c r="G17" s="640">
        <f>IFERROR(N(INDEX(Invoer!$H$38:$H$57,MATCH(11,Invoer!$BG$38:$BG$57,0))),0)</f>
        <v/>
      </c>
      <c r="H17" s="640">
        <f>IFERROR(N(INDEX(Invoer!$I$38:$I$57,MATCH(11,Invoer!$BG$38:$BG$57,0))),0)</f>
        <v/>
      </c>
      <c r="I17" s="640">
        <f>IFERROR(N(INDEX(Invoer!$J$38:$J$57,MATCH(11,Invoer!$BG$38:$BG$57,0))),0)</f>
        <v/>
      </c>
      <c r="J17" s="640">
        <f>IFERROR(N(INDEX(Invoer!$K$38:$K$57,MATCH(11,Invoer!$BG$38:$BG$57,0))),0)</f>
        <v/>
      </c>
      <c r="K17" s="414">
        <f>IFERROR(IF(INDEX(Invoer!$L$38:$L$57,MATCH(11,Invoer!$BG$38:$BG$57,0))="","",INDEX(Invoer!$L$38:$L$57,MATCH(11,Invoer!$BG$38:$BG$57,0))),"")</f>
        <v/>
      </c>
      <c r="L17" s="642">
        <f>IFERROR(N(INDEX(Invoer!$M$38:$M$57,MATCH(11,Invoer!$BG$38:$BG$57,0))),0)</f>
        <v/>
      </c>
      <c r="M17" s="419">
        <f>IFERROR(IF(INDEX(Invoer!$BK$38:$BK$57,MATCH(11,Invoer!$BG$38:$BG$57,0))="","",INDEX(Invoer!$BK$38:$BK$57,MATCH(11,Invoer!$BG$38:$BG$57,0))),"")</f>
        <v/>
      </c>
      <c r="N17" s="419">
        <f>IFERROR(IF(INDEX(Invoer!$BL$38:$BL$57,MATCH(11,Invoer!$BG$38:$BG$57,0))="","",INDEX(Invoer!$BL$38:$BL$57,MATCH(11,Invoer!$BG$38:$BG$57,0))),"")</f>
        <v/>
      </c>
      <c r="O17" s="419">
        <f>IFERROR(IF(INDEX(Invoer!$BM$38:$BM$57,MATCH(11,Invoer!$BG$38:$BG$57,0))="","",INDEX(Invoer!$BM$38:$BM$57,MATCH(11,Invoer!$BG$38:$BG$57,0))),"")</f>
        <v/>
      </c>
      <c r="P17" s="419">
        <f>IFERROR(IF(INDEX(Invoer!$BN$38:$BN$57,MATCH(11,Invoer!$BG$38:$BG$57,0))="","",INDEX(Invoer!$BN$38:$BN$57,MATCH(11,Invoer!$BG$38:$BG$57,0))),"")</f>
        <v/>
      </c>
      <c r="Q17" s="419">
        <f>IFERROR(IF(INDEX(Invoer!$BO$38:$BO$57,MATCH(11,Invoer!$BG$38:$BG$57,0))="","",INDEX(Invoer!$BO$38:$BO$57,MATCH(11,Invoer!$BG$38:$BG$57,0))),"")</f>
        <v/>
      </c>
      <c r="R17" s="419">
        <f>IFERROR(IF(INDEX(Invoer!$BP$38:$BP$57,MATCH(11,Invoer!$BG$38:$BG$57,0))="","",INDEX(Invoer!$BP$38:$BP$57,MATCH(11,Invoer!$BG$38:$BG$57,0))),"")</f>
        <v/>
      </c>
      <c r="S17" s="450" t="n"/>
      <c r="T17" s="416">
        <f>IFERROR(IF(INDEX(Invoer!$Q$38:$Q$57,MATCH(11,Invoer!$BG$38:$BG$57,0))="","",INDEX(Invoer!$Q$38:$Q$57,MATCH(11,Invoer!$BG$38:$BG$57,0))),"")</f>
        <v/>
      </c>
      <c r="U17" s="450" t="n"/>
      <c r="V17" s="419">
        <f>IFERROR(IF(INDEX(Invoer!$R$38:$R$57,MATCH(11,Invoer!$BG$38:$BG$57,0))="","",INDEX(Invoer!$R$38:$R$57,MATCH(11,Invoer!$BG$38:$BG$57,0))),"")</f>
        <v/>
      </c>
      <c r="W17" s="450" t="n"/>
      <c r="X17" s="417">
        <f>IFERROR(IF(N(INDEX(Invoer!$BV$38:$BV$57,MATCH(11,Invoer!$BG$38:$BG$57,0)))=0,"",INDEX(Invoer!$BV$38:$BV$57,MATCH(11,Invoer!$BG$38:$BG$57,0))),"")</f>
        <v/>
      </c>
      <c r="Y17" s="419">
        <f>IFERROR(IF(INDEX(Invoer!$T$38:$T$57,MATCH(11,Invoer!$BG$38:$BG$57,0))="","",INDEX(Invoer!$T$38:$T$57,MATCH(11,Invoer!$BG$38:$BG$57,0))),"")</f>
        <v/>
      </c>
      <c r="AA17" s="419">
        <f>IFERROR(IF(INDEX(Invoer!$U$38:$U$57,MATCH(11,Invoer!$BG$38:$BG$57,0))="","",INDEX(Invoer!$U$38:$U$57,MATCH(11,Invoer!$BG$38:$BG$57,0))),"")</f>
        <v/>
      </c>
      <c r="AB17" s="419">
        <f>IFERROR(IF(INDEX(Invoer!$V$38:$V$57,MATCH(11,Invoer!$BG$38:$BG$57,0))="","",INDEX(Invoer!$V$38:$V$57,MATCH(11,Invoer!$BG$38:$BG$57,0))),"")</f>
        <v/>
      </c>
      <c r="AC17" s="419">
        <f>IFERROR(IF(INDEX(Invoer!$W$38:$W$57,MATCH(11,Invoer!$BG$38:$BG$57,0))="","",INDEX(Invoer!$W$38:$W$57,MATCH(11,Invoer!$BG$38:$BG$57,0))),"")</f>
        <v/>
      </c>
      <c r="AE17" s="642">
        <f>IFERROR(N(INDEX(Invoer!$X$38:$X$57,MATCH(11,Invoer!$BG$38:$BG$57,0))),0)</f>
        <v/>
      </c>
      <c r="AF17" s="642">
        <f>IFERROR(N(INDEX(Invoer!$Y$38:$Y$57,MATCH(11,Invoer!$BG$38:$BG$57,0))),0)</f>
        <v/>
      </c>
      <c r="AG17" s="642">
        <f>IFERROR(N(INDEX(Invoer!$Z$38:$Z$57,MATCH(11,Invoer!$BG$38:$BG$57,0))),0)</f>
        <v/>
      </c>
      <c r="AH17" s="642">
        <f>IFERROR(N(INDEX(Invoer!$AA$38:$AA$57,MATCH(11,Invoer!$BG$38:$BG$57,0))),0)</f>
        <v/>
      </c>
      <c r="AI17" s="642">
        <f>IFERROR(N(INDEX(Invoer!$AB$38:$AB$57,MATCH(11,Invoer!$BG$38:$BG$57,0))),0)</f>
        <v/>
      </c>
      <c r="AJ17" s="642">
        <f>IFERROR(N(INDEX(Invoer!$AC$38:$AC$57,MATCH(11,Invoer!$BG$38:$BG$57,0))),0)</f>
        <v/>
      </c>
      <c r="AL17" s="642">
        <f>IFERROR(N(INDEX(Invoer!$BC$38:$BC$57,MATCH(11,Invoer!$BG$38:$BG$57,0))),0)</f>
        <v/>
      </c>
      <c r="AN17" s="642">
        <f>IFERROR(N(INDEX(Invoer!$BD$38:$BD$57,MATCH(11,Invoer!$BG$38:$BG$57,0))),0)</f>
        <v/>
      </c>
      <c r="AO17" s="450" t="n"/>
      <c r="AP17" s="642">
        <f>IFERROR(N(INDEX(Invoer!$AD$38:$AD$57,MATCH(11,Invoer!$BG$38:$BG$57,0))),0)</f>
        <v/>
      </c>
      <c r="AR17" s="418">
        <f>(IF(X17&lt;&gt;"",(utwd*(IF(ISNUMBER(AE17),AE17,0))+uttd*(IF(ISNUMBER(AF17),AF17,0))+utsb*(IF(ISNUMBER(AG17),AG17,0))+utrw*(IF(ISNUMBER(AH17),AH17,0))+utd*(IF(ISNUMBER(AI17),AI17,0))+_ut3*(IF(ISNUMBER(AJ17),AJ17,0)) +(IF(ISNUMBER(AP17),AP17,0)))*(IF(Y17="j",1,IF(Y17="m",12,IF(Y17="w",52,IF(Y17="d",365,0)))))/X17,0))*L17</f>
        <v/>
      </c>
      <c r="AT17" s="642">
        <f>IFERROR(N(INDEX(Invoer!$AJ$38:$AJ$57,MATCH(11,Invoer!$BG$38:$BG$57,0))),0)</f>
        <v/>
      </c>
      <c r="AU17" s="450" t="n"/>
      <c r="AV17" s="420">
        <f>IFERROR(IF(INDEX(Invoer!$BE$38:$BE$57,MATCH(11,Invoer!$BG$38:$BG$57,0))="","",INDEX(Invoer!$BE$38:$BE$57,MATCH(11,Invoer!$BG$38:$BG$57,0))),"")</f>
        <v/>
      </c>
      <c r="AX17" s="519" t="n"/>
      <c r="AY17" s="418">
        <f>IF(ISBLANK(AX17),0,(IF(X17&lt;&gt;"",(utwd*(IF(ISNUMBER(AE17),AE17,0))+uttd*(IF(ISNUMBER(AF17),AF17,0))+utsb*(IF(ISNUMBER(AG17),AG17,0))+utrw*(IF(ISNUMBER(AH17),AH17,0))+utd*(IF(ISNUMBER(AI17),AI17,0))+_ut3*(IF(ISNUMBER(AJ17),AJ17,0)) +(IF(ISNUMBER(AP17),AP17,0))),0))*L17)</f>
        <v/>
      </c>
      <c r="AZ17" s="519" t="n"/>
      <c r="BA17" s="418">
        <f>IF(ISBLANK(AZ17),0,(IF(X17&lt;&gt;"",(utwd*(IF(ISNUMBER(AE17),AE17,0))+uttd*(IF(ISNUMBER(AF17),AF17,0))+utsb*(IF(ISNUMBER(AG17),AG17,0))+utrw*(IF(ISNUMBER(AH17),AH17,0))+utd*(IF(ISNUMBER(AI17),AI17,0))+_ut3*(IF(ISNUMBER(AJ17),AJ17,0)) +(IF(ISNUMBER(AP17),AP17,0))),0))*L17)</f>
        <v/>
      </c>
      <c r="BB17" s="519" t="n"/>
      <c r="BC17" s="418">
        <f>IF(ISBLANK(BB17),0,(IF(X17&lt;&gt;"",(utwd*(IF(ISNUMBER(AE17),AE17,0))+uttd*(IF(ISNUMBER(AF17),AF17,0))+utsb*(IF(ISNUMBER(AG17),AG17,0))+utrw*(IF(ISNUMBER(AH17),AH17,0))+utd*(IF(ISNUMBER(AI17),AI17,0))+_ut3*(IF(ISNUMBER(AJ17),AJ17,0)) +(IF(ISNUMBER(AP17),AP17,0))),0))*L17)</f>
        <v/>
      </c>
    </row>
    <row r="18" ht="12.75" customHeight="1" s="189">
      <c r="A18" s="454" t="n"/>
      <c r="B18" s="455" t="n"/>
      <c r="C18" s="455" t="n"/>
      <c r="D18" s="455" t="n"/>
      <c r="E18" s="455" t="n"/>
      <c r="F18" s="455" t="n"/>
      <c r="G18" s="455" t="n"/>
      <c r="H18" s="455" t="n"/>
      <c r="I18" s="455" t="n"/>
      <c r="J18" s="455" t="n"/>
      <c r="K18" s="455" t="n"/>
      <c r="L18" s="455" t="n"/>
      <c r="M18" s="455" t="n"/>
      <c r="N18" s="455" t="n"/>
      <c r="O18" s="455" t="n"/>
      <c r="P18" s="455" t="n"/>
      <c r="Q18" s="455" t="n"/>
      <c r="R18" s="455" t="n"/>
      <c r="S18" s="455" t="n"/>
      <c r="T18" s="455" t="n"/>
      <c r="U18" s="455" t="n"/>
      <c r="V18" s="455" t="n"/>
      <c r="W18" s="455" t="n"/>
      <c r="X18" s="524" t="n"/>
      <c r="Y18" s="425" t="n"/>
      <c r="Z18" s="425" t="n"/>
      <c r="AA18" s="425" t="n"/>
      <c r="AB18" s="425" t="n"/>
      <c r="AC18" s="455" t="n"/>
      <c r="AD18" s="426" t="n"/>
      <c r="AE18" s="426" t="n"/>
      <c r="AF18" s="426" t="n"/>
      <c r="AG18" s="426" t="n"/>
      <c r="AH18" s="426" t="n"/>
      <c r="AI18" s="426" t="n"/>
      <c r="AJ18" s="426" t="n"/>
      <c r="AK18" s="426" t="n"/>
      <c r="AL18" s="426" t="n"/>
      <c r="AM18" s="426" t="n"/>
      <c r="AN18" s="426" t="n"/>
      <c r="AO18" s="426" t="n"/>
      <c r="AP18" s="426" t="n"/>
      <c r="AQ18" s="427" t="inlineStr">
        <is>
          <t>€</t>
        </is>
      </c>
      <c r="AR18" s="428">
        <f>SUM(AR7:AR17)</f>
        <v/>
      </c>
      <c r="AT18" s="450" t="n"/>
      <c r="AU18" s="443" t="n"/>
      <c r="AV18" s="429">
        <f>TODAY()</f>
        <v/>
      </c>
      <c r="AX18" s="419" t="inlineStr">
        <is>
          <t>€</t>
        </is>
      </c>
      <c r="AY18" s="428">
        <f>SUM(AY7:AY17)</f>
        <v/>
      </c>
      <c r="AZ18" s="419" t="n"/>
      <c r="BA18" s="428">
        <f>SUM(BA7:BA17)</f>
        <v/>
      </c>
      <c r="BB18" s="419" t="n"/>
      <c r="BC18" s="428">
        <f>SUM(BC7:BC17)</f>
        <v/>
      </c>
    </row>
    <row r="19">
      <c r="M19" s="450" t="n"/>
      <c r="S19" s="443" t="n"/>
      <c r="T19" s="443" t="n"/>
      <c r="U19" s="443" t="n"/>
      <c r="V19" s="450" t="n"/>
      <c r="X19" s="513" t="n"/>
      <c r="Y19" s="443" t="n"/>
      <c r="Z19" s="443" t="n"/>
      <c r="AA19" s="450" t="n"/>
      <c r="AD19" s="443" t="n"/>
      <c r="AH19" s="450" t="n"/>
      <c r="AJ19" s="450" t="n"/>
      <c r="AK19" s="443" t="n"/>
      <c r="AM19" s="443" t="n"/>
      <c r="AO19" s="450" t="n"/>
      <c r="AP19" s="450" t="n"/>
      <c r="AR19" s="398" t="n"/>
      <c r="AT19" s="450" t="n"/>
      <c r="AU19" s="443" t="n"/>
      <c r="AX19" s="450" t="n"/>
      <c r="AY19" s="398" t="n"/>
      <c r="AZ19" s="450" t="n"/>
      <c r="BA19" s="398" t="n"/>
      <c r="BB19" s="450" t="n"/>
      <c r="BC19" s="398" t="n"/>
    </row>
    <row r="20">
      <c r="M20" s="450" t="n"/>
      <c r="S20" s="443" t="n"/>
      <c r="T20" s="443" t="n"/>
      <c r="U20" s="443" t="n"/>
      <c r="V20" s="450" t="n"/>
      <c r="X20" s="513" t="n"/>
      <c r="Y20" s="443" t="n"/>
      <c r="Z20" s="443" t="n"/>
      <c r="AA20" s="450" t="n"/>
      <c r="AD20" s="443" t="n"/>
      <c r="AH20" s="450" t="n"/>
      <c r="AJ20" s="450" t="n"/>
      <c r="AK20" s="443" t="n"/>
      <c r="AM20" s="443" t="n"/>
      <c r="AO20" s="450" t="n"/>
      <c r="AP20" s="450" t="n"/>
      <c r="AR20" s="398" t="n"/>
      <c r="AT20" s="450" t="n"/>
      <c r="AU20" s="443" t="n"/>
      <c r="AX20" s="450" t="n"/>
      <c r="AY20" s="398" t="n"/>
      <c r="AZ20" s="450" t="n"/>
      <c r="BA20" s="398" t="n"/>
      <c r="BB20" s="450" t="n"/>
      <c r="BC20" s="398" t="n"/>
    </row>
  </sheetData>
  <sheetProtection selectLockedCells="0" selectUnlockedCells="0" sheet="1" objects="1" insertRows="0" insertHyperlinks="1" autoFilter="0" scenarios="1" formatColumns="0" deleteColumns="1" insertColumns="1" pivotTables="1" deleteRows="0" formatCells="1" formatRows="0" sort="0"/>
  <dataValidations count="1">
    <dataValidation sqref="K7:K17" showDropDown="0" showInputMessage="1" showErrorMessage="0" allowBlank="1" type="list">
      <formula1>decompositie</formula1>
    </dataValidation>
  </dataValidations>
  <printOptions horizontalCentered="1" gridLinesSet="0"/>
  <pageMargins left="1.3" right="0.5905511811023623" top="0.5905511811023623" bottom="0.5905511811023623" header="0.5511811023622047" footer="0.2362204724409449"/>
  <pageSetup orientation="landscape" paperSize="8" scale="77" horizontalDpi="300"/>
</worksheet>
</file>

<file path=xl/worksheets/sheet5.xml><?xml version="1.0" encoding="utf-8"?>
<worksheet xmlns="http://schemas.openxmlformats.org/spreadsheetml/2006/main">
  <sheetPr codeName="Sheet3">
    <outlinePr summaryBelow="1" summaryRight="1"/>
    <pageSetUpPr/>
  </sheetPr>
  <dimension ref="A1:AV323"/>
  <sheetViews>
    <sheetView showGridLines="0" zoomScale="120" workbookViewId="0">
      <selection activeCell="AR8" sqref="AR8"/>
    </sheetView>
  </sheetViews>
  <sheetFormatPr baseColWidth="8" defaultColWidth="51.7109375" defaultRowHeight="9"/>
  <cols>
    <col width="2.5703125" customWidth="1" style="451" min="1" max="4"/>
    <col hidden="1" width="2.5703125" customWidth="1" style="451" min="5" max="10"/>
    <col width="17.42578125" bestFit="1" customWidth="1" style="443" min="11" max="11"/>
    <col width="4.140625" customWidth="1" style="443" min="12" max="12"/>
    <col width="2.7109375" customWidth="1" style="443" min="13" max="14"/>
    <col width="1.7109375" customWidth="1" style="450" min="15" max="15"/>
    <col width="9.28515625" customWidth="1" style="443" min="16" max="16"/>
    <col width="1.7109375" customWidth="1" style="443" min="17" max="17"/>
    <col hidden="1" width="6.140625" customWidth="1" style="443" min="18" max="18"/>
    <col hidden="1" width="1.7109375" customWidth="1" style="443" min="19" max="19"/>
    <col width="5.140625" customWidth="1" style="450" min="20" max="20"/>
    <col width="2.7109375" customWidth="1" style="450" min="21" max="21"/>
    <col width="1.7109375" customWidth="1" style="450" min="22" max="22"/>
    <col width="2.7109375" customWidth="1" style="443" min="23" max="23"/>
    <col width="2.7109375" customWidth="1" style="450" min="24" max="25"/>
    <col width="1.7109375" customWidth="1" style="450" min="26" max="26"/>
    <col width="2.7109375" customWidth="1" style="450" min="27" max="28"/>
    <col width="3.140625" customWidth="1" style="450" min="29" max="29"/>
    <col hidden="1" width="3.140625" customWidth="1" style="443" min="30" max="30"/>
    <col hidden="1" width="3.140625" customWidth="1" style="450" min="31" max="31"/>
    <col hidden="1" width="3.140625" customWidth="1" style="443" min="32" max="32"/>
    <col width="1.7109375" customWidth="1" style="450" min="33" max="33"/>
    <col hidden="1" width="2.7109375" customWidth="1" style="450" min="34" max="34"/>
    <col hidden="1" width="1.7109375" customWidth="1" style="438" min="35" max="35"/>
    <col hidden="1" width="2.7109375" customWidth="1" style="450" min="36" max="36"/>
    <col hidden="1" width="1.7109375" customWidth="1" style="398" min="37" max="37"/>
    <col width="4.5703125" customWidth="1" style="286" min="38" max="38"/>
    <col width="2.42578125" customWidth="1" style="450" min="39" max="39"/>
    <col width="5.28515625" customWidth="1" style="450" min="40" max="40"/>
    <col width="1.7109375" customWidth="1" style="450" min="41" max="41"/>
    <col width="2.7109375" customWidth="1" style="286" min="42" max="42"/>
    <col width="2.7109375" customWidth="1" style="450" min="43" max="43"/>
    <col width="2.7109375" customWidth="1" style="286" min="44" max="44"/>
    <col width="1.7109375" customWidth="1" style="286" min="45" max="45"/>
    <col width="3.140625" customWidth="1" style="286" min="46" max="46"/>
    <col width="1.7109375" customWidth="1" style="286" min="47" max="47"/>
    <col width="32.85546875" customWidth="1" style="286" min="48" max="48"/>
    <col width="1.7109375" customWidth="1" style="286" min="49" max="49"/>
    <col width="3.5703125" customWidth="1" style="286" min="50" max="194"/>
    <col width="51.7109375" customWidth="1" style="286" min="195" max="16384"/>
  </cols>
  <sheetData>
    <row r="1" ht="15.75" customHeight="1" s="189">
      <c r="A1" s="380">
        <f>PO!A1</f>
        <v/>
      </c>
      <c r="B1" s="430" t="n"/>
      <c r="C1" s="391">
        <f>Algemeen!R4</f>
        <v/>
      </c>
      <c r="D1" s="391" t="n"/>
      <c r="E1" s="391" t="n"/>
      <c r="F1" s="391" t="n"/>
      <c r="G1" s="391" t="n"/>
      <c r="H1" s="391" t="n"/>
      <c r="I1" s="391" t="n"/>
      <c r="J1" s="391" t="n"/>
      <c r="K1" s="385" t="n"/>
      <c r="L1" s="385" t="n"/>
      <c r="M1" s="385" t="n"/>
      <c r="N1" s="385" t="n"/>
      <c r="O1" s="385" t="n"/>
      <c r="P1" s="431" t="inlineStr">
        <is>
          <t>Toestandsafhankelijke onderhoudstaken</t>
        </is>
      </c>
      <c r="Q1" s="385" t="n"/>
      <c r="R1" s="384" t="n"/>
      <c r="S1" s="385" t="n"/>
      <c r="T1" s="385" t="n"/>
      <c r="U1" s="387" t="n"/>
      <c r="V1" s="387" t="n"/>
      <c r="W1" s="388" t="n"/>
      <c r="X1" s="388" t="n"/>
      <c r="Y1" s="389" t="n"/>
      <c r="Z1" s="385" t="n"/>
      <c r="AA1" s="389" t="n"/>
      <c r="AB1" s="389" t="n"/>
      <c r="AC1" s="389" t="n"/>
      <c r="AD1" s="389" t="n"/>
      <c r="AE1" s="389" t="n"/>
      <c r="AF1" s="389" t="n"/>
      <c r="AG1" s="385" t="n"/>
      <c r="AH1" s="389" t="n"/>
      <c r="AI1" s="385" t="n"/>
      <c r="AJ1" s="389" t="n"/>
      <c r="AK1" s="389" t="n"/>
      <c r="AL1" s="432" t="n"/>
      <c r="AM1" s="391" t="n"/>
      <c r="AN1" s="384" t="n"/>
      <c r="AO1" s="433" t="n"/>
      <c r="AP1" s="389" t="n"/>
      <c r="AQ1" s="389" t="n"/>
      <c r="AR1" s="389" t="n"/>
      <c r="AS1" s="433" t="n"/>
      <c r="AT1" s="434" t="n"/>
      <c r="AU1" s="435" t="n"/>
      <c r="AV1" s="436" t="inlineStr">
        <is>
          <t>Toestandsafhankelijke onderhoudstaken</t>
        </is>
      </c>
    </row>
    <row r="2">
      <c r="A2" s="437" t="n"/>
      <c r="B2" s="437" t="n"/>
      <c r="C2" s="437" t="n"/>
      <c r="D2" s="437" t="n"/>
      <c r="E2" s="437" t="n"/>
      <c r="F2" s="437" t="n"/>
      <c r="G2" s="437" t="n"/>
      <c r="H2" s="437" t="n"/>
      <c r="I2" s="437" t="n"/>
      <c r="J2" s="437" t="n"/>
      <c r="K2" s="396" t="n"/>
      <c r="O2" s="443" t="n"/>
      <c r="P2" s="443" t="n"/>
      <c r="Q2" s="443" t="n"/>
      <c r="R2" s="450" t="n"/>
      <c r="T2" s="443" t="n"/>
      <c r="U2" s="396" t="n"/>
      <c r="V2" s="396" t="n"/>
      <c r="W2" s="397" t="n"/>
      <c r="X2" s="397" t="n"/>
      <c r="Z2" s="443" t="n"/>
      <c r="AD2" s="450" t="n"/>
      <c r="AF2" s="450" t="n"/>
      <c r="AG2" s="443" t="n"/>
      <c r="AI2" s="443" t="n"/>
      <c r="AK2" s="450" t="n"/>
      <c r="AL2" s="438" t="n"/>
      <c r="AN2" s="398" t="n"/>
      <c r="AO2" s="286" t="n"/>
      <c r="AP2" s="450" t="n"/>
      <c r="AR2" s="450" t="n"/>
      <c r="AT2" s="450" t="n"/>
    </row>
    <row r="3" ht="12.75" customHeight="1" s="189">
      <c r="A3" s="439" t="n"/>
      <c r="B3" s="440" t="n"/>
      <c r="C3" s="440" t="n"/>
      <c r="D3" s="440" t="n"/>
      <c r="E3" s="440" t="n"/>
      <c r="F3" s="440" t="n"/>
      <c r="G3" s="440" t="n"/>
      <c r="H3" s="440" t="n"/>
      <c r="I3" s="440" t="n"/>
      <c r="J3" s="440" t="n"/>
      <c r="K3" s="253" t="n"/>
      <c r="L3" s="441" t="n"/>
      <c r="M3" s="442" t="inlineStr">
        <is>
          <t>Aktie</t>
        </is>
      </c>
      <c r="N3" s="442" t="n"/>
      <c r="O3" s="396" t="n"/>
      <c r="P3" s="265" t="n"/>
      <c r="Q3" s="396" t="n"/>
      <c r="R3" s="267" t="n"/>
      <c r="T3" s="400" t="inlineStr">
        <is>
          <t>Freq.</t>
        </is>
      </c>
      <c r="U3" s="401" t="n"/>
      <c r="V3" s="274" t="n"/>
      <c r="W3" s="400" t="inlineStr">
        <is>
          <t>Uitvoering</t>
        </is>
      </c>
      <c r="X3" s="402" t="n"/>
      <c r="Y3" s="401" t="n"/>
      <c r="Z3" s="274" t="n"/>
      <c r="AA3" s="271" t="inlineStr">
        <is>
          <t>tijd (uur)</t>
        </is>
      </c>
      <c r="AB3" s="272" t="n"/>
      <c r="AC3" s="272" t="n"/>
      <c r="AD3" s="272" t="n"/>
      <c r="AE3" s="272" t="n"/>
      <c r="AF3" s="273" t="n"/>
      <c r="AG3" s="443" t="n"/>
      <c r="AH3" s="255" t="n"/>
      <c r="AI3" s="443" t="n"/>
      <c r="AJ3" s="255" t="n"/>
      <c r="AK3" s="450" t="n"/>
      <c r="AL3" s="275" t="n"/>
      <c r="AN3" s="283" t="n"/>
      <c r="AO3" s="286" t="n"/>
      <c r="AP3" s="255" t="n"/>
      <c r="AQ3" s="255" t="n"/>
      <c r="AR3" s="255" t="n"/>
      <c r="AT3" s="281" t="n"/>
      <c r="AU3" s="443" t="n"/>
      <c r="AV3" s="298" t="n"/>
    </row>
    <row r="4" ht="123" customFormat="1" customHeight="1" s="449">
      <c r="A4" s="643" t="inlineStr">
        <is>
          <t>Deze lijst vult zichzelf vanuit het tabblad Invoer</t>
        </is>
      </c>
      <c r="B4" s="445" t="n"/>
      <c r="C4" s="445" t="n"/>
      <c r="D4" s="445" t="n"/>
      <c r="E4" s="445" t="n"/>
      <c r="F4" s="445" t="n"/>
      <c r="G4" s="445" t="n"/>
      <c r="H4" s="445" t="n"/>
      <c r="I4" s="445" t="n"/>
      <c r="J4" s="445" t="n"/>
      <c r="K4" s="446" t="inlineStr">
        <is>
          <t>Fysieke decompositie</t>
        </is>
      </c>
      <c r="L4" s="403" t="inlineStr">
        <is>
          <t xml:space="preserve">Vermenigvuldigingsfactor onderhoudsactie </t>
        </is>
      </c>
      <c r="M4" s="404" t="inlineStr">
        <is>
          <t>Revisie</t>
        </is>
      </c>
      <c r="N4" s="404" t="inlineStr">
        <is>
          <t xml:space="preserve">Vervanging </t>
        </is>
      </c>
      <c r="O4" s="107" t="n"/>
      <c r="P4" s="406" t="inlineStr">
        <is>
          <t>Omschrijving</t>
        </is>
      </c>
      <c r="Q4" s="107" t="n"/>
      <c r="R4" s="447" t="inlineStr">
        <is>
          <t>Taak-ID</t>
        </is>
      </c>
      <c r="S4" s="450" t="n"/>
      <c r="T4" s="306" t="inlineStr">
        <is>
          <t>Aantal keren per</t>
        </is>
      </c>
      <c r="U4" s="306" t="inlineStr">
        <is>
          <t>d / w / m / j</t>
        </is>
      </c>
      <c r="V4" s="314" t="n"/>
      <c r="W4" s="312" t="inlineStr">
        <is>
          <t>Voor verhuur</t>
        </is>
      </c>
      <c r="X4" s="313" t="inlineStr">
        <is>
          <t>Tijdens fietstocht</t>
        </is>
      </c>
      <c r="Y4" s="313" t="inlineStr">
        <is>
          <t>Alleen in groot onderhoud</t>
        </is>
      </c>
      <c r="Z4" s="314" t="n"/>
      <c r="AA4" s="313" t="inlineStr">
        <is>
          <t>Verhuurder</t>
        </is>
      </c>
      <c r="AB4" s="313" t="inlineStr">
        <is>
          <t>Huurder</t>
        </is>
      </c>
      <c r="AC4" s="313" t="inlineStr">
        <is>
          <t>Monteur</t>
        </is>
      </c>
      <c r="AD4" s="313">
        <f>Algemeen!AS13</f>
        <v/>
      </c>
      <c r="AE4" s="313">
        <f>Algemeen!AT13</f>
        <v/>
      </c>
      <c r="AF4" s="313">
        <f>Algemeen!AU13</f>
        <v/>
      </c>
      <c r="AG4" s="450" t="n"/>
      <c r="AH4" s="309" t="inlineStr">
        <is>
          <t># man</t>
        </is>
      </c>
      <c r="AI4" s="450" t="n"/>
      <c r="AJ4" s="448" t="inlineStr">
        <is>
          <t># man marinebedrijf/dienst</t>
        </is>
      </c>
      <c r="AK4" s="450" t="n"/>
      <c r="AL4" s="318" t="inlineStr">
        <is>
          <t>Vaste kosten</t>
        </is>
      </c>
      <c r="AM4" s="316" t="n"/>
      <c r="AN4" s="322" t="inlineStr">
        <is>
          <t>OH-kosten per jaar</t>
        </is>
      </c>
      <c r="AP4" s="309" t="inlineStr">
        <is>
          <t>Zoektijd (uur)</t>
        </is>
      </c>
      <c r="AQ4" s="309" t="inlineStr">
        <is>
          <t>Reparatietijd (uur)</t>
        </is>
      </c>
      <c r="AR4" s="309" t="inlineStr">
        <is>
          <t>Wachttijd  (uur)</t>
        </is>
      </c>
      <c r="AT4" s="320" t="inlineStr">
        <is>
          <t>Verwachte doorlooptijd (uur)</t>
        </is>
      </c>
      <c r="AU4" s="450" t="n"/>
      <c r="AV4" s="332" t="inlineStr">
        <is>
          <t>Opmerkingen</t>
        </is>
      </c>
    </row>
    <row r="5" ht="15" customHeight="1" s="189">
      <c r="N5" s="443" t="n"/>
      <c r="O5" s="443" t="n"/>
      <c r="P5" s="443" t="n"/>
      <c r="Q5" s="443" t="n"/>
      <c r="R5" s="450" t="n"/>
      <c r="T5" s="443" t="n"/>
      <c r="U5" s="443" t="n"/>
      <c r="W5" s="450" t="n"/>
      <c r="AA5" s="419">
        <f>uurtarief_wd</f>
        <v/>
      </c>
      <c r="AB5" s="419" t="n">
        <v>100</v>
      </c>
      <c r="AC5" s="419" t="n">
        <v>50</v>
      </c>
      <c r="AD5" s="419" t="n">
        <v>100</v>
      </c>
      <c r="AE5" s="419" t="n">
        <v>100</v>
      </c>
      <c r="AF5" s="419" t="n">
        <v>100</v>
      </c>
      <c r="AG5" s="443" t="n"/>
      <c r="AI5" s="443" t="n"/>
      <c r="AK5" s="450" t="n"/>
      <c r="AL5" s="438" t="n"/>
      <c r="AN5" s="141" t="n"/>
      <c r="AO5" s="451" t="n"/>
      <c r="AP5" s="141" t="n"/>
      <c r="AQ5" s="141" t="n"/>
      <c r="AR5" s="141" t="n"/>
      <c r="AS5" s="451" t="n"/>
      <c r="AT5" s="141" t="n"/>
      <c r="AU5" s="451" t="n"/>
    </row>
    <row r="6" ht="10.5" customHeight="1" s="189">
      <c r="O6" s="443" t="n"/>
      <c r="P6" s="443" t="n"/>
      <c r="Q6" s="443" t="n"/>
      <c r="R6" s="450" t="n"/>
      <c r="T6" s="419" t="n"/>
      <c r="U6" s="443" t="n"/>
      <c r="W6" s="450" t="n"/>
      <c r="AD6" s="450" t="n"/>
      <c r="AF6" s="450" t="n"/>
      <c r="AG6" s="443" t="n"/>
      <c r="AI6" s="443" t="n"/>
      <c r="AK6" s="450" t="n"/>
      <c r="AL6" s="438" t="n"/>
      <c r="AN6" s="398" t="n"/>
      <c r="AO6" s="286" t="n"/>
      <c r="AP6" s="450" t="n"/>
      <c r="AR6" s="450" t="n"/>
      <c r="AT6" s="450" t="n"/>
      <c r="AU6" s="443" t="n"/>
    </row>
    <row r="7" ht="9.949999999999999" customHeight="1" s="189">
      <c r="A7" s="640">
        <f>IFERROR(N(INDEX(Invoer!$B$38:$B$57,MATCH(1,Invoer!$BH$38:$BH$57,0))),0)</f>
        <v/>
      </c>
      <c r="B7" s="641">
        <f>IFERROR(N(INDEX(Invoer!$C$38:$C$57,MATCH(1,Invoer!$BH$38:$BH$57,0))),0)</f>
        <v/>
      </c>
      <c r="C7" s="641">
        <f>IFERROR(N(INDEX(Invoer!$D$38:$D$57,MATCH(1,Invoer!$BH$38:$BH$57,0))),0)</f>
        <v/>
      </c>
      <c r="D7" s="641">
        <f>IFERROR(N(INDEX(Invoer!$E$38:$E$57,MATCH(1,Invoer!$BH$38:$BH$57,0))),0)</f>
        <v/>
      </c>
      <c r="E7" s="641">
        <f>IFERROR(N(INDEX(Invoer!$F$38:$F$57,MATCH(1,Invoer!$BH$38:$BH$57,0))),0)</f>
        <v/>
      </c>
      <c r="F7" s="641">
        <f>IFERROR(N(INDEX(Invoer!$G$38:$G$57,MATCH(1,Invoer!$BH$38:$BH$57,0))),0)</f>
        <v/>
      </c>
      <c r="G7" s="641">
        <f>IFERROR(N(INDEX(Invoer!$H$38:$H$57,MATCH(1,Invoer!$BH$38:$BH$57,0))),0)</f>
        <v/>
      </c>
      <c r="H7" s="641">
        <f>IFERROR(N(INDEX(Invoer!$I$38:$I$57,MATCH(1,Invoer!$BH$38:$BH$57,0))),0)</f>
        <v/>
      </c>
      <c r="I7" s="641">
        <f>IFERROR(N(INDEX(Invoer!$J$38:$J$57,MATCH(1,Invoer!$BH$38:$BH$57,0))),0)</f>
        <v/>
      </c>
      <c r="J7" s="641">
        <f>IFERROR(N(INDEX(Invoer!$K$38:$K$57,MATCH(1,Invoer!$BH$38:$BH$57,0))),0)</f>
        <v/>
      </c>
      <c r="K7" s="414">
        <f>IFERROR(IF(INDEX(Invoer!$L$38:$L$57,MATCH(1,Invoer!$BH$38:$BH$57,0))="","",INDEX(Invoer!$L$38:$L$57,MATCH(1,Invoer!$BH$38:$BH$57,0))),"")</f>
        <v/>
      </c>
      <c r="L7" s="642">
        <f>IFERROR(N(INDEX(Invoer!$M$38:$M$57,MATCH(1,Invoer!$BH$38:$BH$57,0))),0)</f>
        <v/>
      </c>
      <c r="M7" s="419">
        <f>IFERROR(IF(INDEX(Invoer!$BQ$38:$BQ$57,MATCH(1,Invoer!$BH$38:$BH$57,0))="","",INDEX(Invoer!$BQ$38:$BQ$57,MATCH(1,Invoer!$BH$38:$BH$57,0))),"")</f>
        <v/>
      </c>
      <c r="N7" s="419">
        <f>IFERROR(IF(INDEX(Invoer!$BR$38:$BR$57,MATCH(1,Invoer!$BH$38:$BH$57,0))="","",INDEX(Invoer!$BR$38:$BR$57,MATCH(1,Invoer!$BH$38:$BH$57,0))),"")</f>
        <v/>
      </c>
      <c r="O7" s="450" t="n"/>
      <c r="P7" s="416">
        <f>IFERROR(IF(INDEX(Invoer!$Q$38:$Q$57,MATCH(1,Invoer!$BH$38:$BH$57,0))="","",INDEX(Invoer!$Q$38:$Q$57,MATCH(1,Invoer!$BH$38:$BH$57,0))),"")</f>
        <v/>
      </c>
      <c r="Q7" s="450" t="n"/>
      <c r="R7" s="419">
        <f>IFERROR(IF(INDEX(Invoer!$R$38:$R$57,MATCH(1,Invoer!$BH$38:$BH$57,0))="","",INDEX(Invoer!$R$38:$R$57,MATCH(1,Invoer!$BH$38:$BH$57,0))),"")</f>
        <v/>
      </c>
      <c r="S7" s="450" t="n"/>
      <c r="T7" s="642">
        <f>IFERROR(N(INDEX(Invoer!$S$38:$S$57,MATCH(1,Invoer!$BH$38:$BH$57,0))),0)</f>
        <v/>
      </c>
      <c r="U7" s="419">
        <f>IFERROR(IF(INDEX(Invoer!$T$38:$T$57,MATCH(1,Invoer!$BH$38:$BH$57,0))="","",INDEX(Invoer!$T$38:$T$57,MATCH(1,Invoer!$BH$38:$BH$57,0))),"")</f>
        <v/>
      </c>
      <c r="W7" s="419">
        <f>IFERROR(IF(INDEX(Invoer!$U$38:$U$57,MATCH(1,Invoer!$BH$38:$BH$57,0))="","",INDEX(Invoer!$U$38:$U$57,MATCH(1,Invoer!$BH$38:$BH$57,0))),"")</f>
        <v/>
      </c>
      <c r="X7" s="419">
        <f>IFERROR(IF(INDEX(Invoer!$V$38:$V$57,MATCH(1,Invoer!$BH$38:$BH$57,0))="","",INDEX(Invoer!$V$38:$V$57,MATCH(1,Invoer!$BH$38:$BH$57,0))),"")</f>
        <v/>
      </c>
      <c r="Y7" s="419">
        <f>IFERROR(IF(INDEX(Invoer!$W$38:$W$57,MATCH(1,Invoer!$BH$38:$BH$57,0))="","",INDEX(Invoer!$W$38:$W$57,MATCH(1,Invoer!$BH$38:$BH$57,0))),"")</f>
        <v/>
      </c>
      <c r="AA7" s="642">
        <f>IFERROR(N(INDEX(Invoer!$X$38:$X$57,MATCH(1,Invoer!$BH$38:$BH$57,0))),0)</f>
        <v/>
      </c>
      <c r="AB7" s="642">
        <f>IFERROR(N(INDEX(Invoer!$Y$38:$Y$57,MATCH(1,Invoer!$BH$38:$BH$57,0))),0)</f>
        <v/>
      </c>
      <c r="AC7" s="642">
        <f>IFERROR(N(INDEX(Invoer!$Z$38:$Z$57,MATCH(1,Invoer!$BH$38:$BH$57,0))),0)</f>
        <v/>
      </c>
      <c r="AD7" s="642">
        <f>IFERROR(N(INDEX(Invoer!$AA$38:$AA$57,MATCH(1,Invoer!$BH$38:$BH$57,0))),0)</f>
        <v/>
      </c>
      <c r="AE7" s="642">
        <f>IFERROR(N(INDEX(Invoer!$AB$38:$AB$57,MATCH(1,Invoer!$BH$38:$BH$57,0))),0)</f>
        <v/>
      </c>
      <c r="AF7" s="642">
        <f>IFERROR(N(INDEX(Invoer!$AC$38:$AC$57,MATCH(1,Invoer!$BH$38:$BH$57,0))),0)</f>
        <v/>
      </c>
      <c r="AH7" s="642">
        <f>IFERROR(N(INDEX(Invoer!$BC$38:$BC$57,MATCH(1,Invoer!$BH$38:$BH$57,0))),0)</f>
        <v/>
      </c>
      <c r="AI7" s="450" t="n"/>
      <c r="AJ7" s="642">
        <f>IFERROR(N(INDEX(Invoer!$BD$38:$BD$57,MATCH(1,Invoer!$BH$38:$BH$57,0))),0)</f>
        <v/>
      </c>
      <c r="AK7" s="450" t="n"/>
      <c r="AL7" s="642">
        <f>IFERROR(N(INDEX(Invoer!$AD$38:$AD$57,MATCH(1,Invoer!$BH$38:$BH$57,0))),0)</f>
        <v/>
      </c>
      <c r="AN7" s="452">
        <f>((($AA$5*(IF(ISNUMBER($AA7),$AA7,0))+$AB$5*(IF(ISNUMBER($AB7),$AB7,0))+$AC$5*(IF(ISNUMBER($AC7),$AC7,0))+$AD$5*(IF(ISNUMBER($AD7),$AD7,0))+$AE$5*(IF(ISNUMBER($AE7),$AE7,0))+$AF$5*(IF(ISNUMBER($AF7),$AF7,0)))+(IF(ISNUMBER($AL7),$AL7,0)))*(IF(U7="j",1,IF(U7="m",12,IF(U7="w",52,IF(U7="d",365,0)))))*T7)*L7</f>
        <v/>
      </c>
      <c r="AO7" s="286" t="n"/>
      <c r="AP7" s="642">
        <f>IFERROR(N(INDEX(Invoer!$AL$38:$AL$57,MATCH(1,Invoer!$BH$38:$BH$57,0))),0)</f>
        <v/>
      </c>
      <c r="AQ7" s="642">
        <f>IFERROR(N(INDEX(Invoer!$AK$38:$AK$57,MATCH(1,Invoer!$BH$38:$BH$57,0))),0)</f>
        <v/>
      </c>
      <c r="AR7" s="642">
        <f>IFERROR(N(INDEX(Invoer!$AP$38:$AP$57,MATCH(1,Invoer!$BH$38:$BH$57,0))),0)</f>
        <v/>
      </c>
      <c r="AT7" s="453">
        <f>AP7+AQ7+AR7</f>
        <v/>
      </c>
      <c r="AV7" s="420">
        <f>IFERROR(IF(INDEX(Invoer!$BE$38:$BE$57,MATCH(1,Invoer!$BH$38:$BH$57,0))="","",INDEX(Invoer!$BE$38:$BE$57,MATCH(1,Invoer!$BH$38:$BH$57,0))),"")</f>
        <v/>
      </c>
    </row>
    <row r="8" ht="9.949999999999999" customHeight="1" s="189">
      <c r="A8" s="640">
        <f>IFERROR(N(INDEX(Invoer!$B$38:$B$57,MATCH(2,Invoer!$BH$38:$BH$57,0))),0)</f>
        <v/>
      </c>
      <c r="B8" s="640">
        <f>IFERROR(N(INDEX(Invoer!$C$38:$C$57,MATCH(2,Invoer!$BH$38:$BH$57,0))),0)</f>
        <v/>
      </c>
      <c r="C8" s="641">
        <f>IFERROR(N(INDEX(Invoer!$D$38:$D$57,MATCH(2,Invoer!$BH$38:$BH$57,0))),0)</f>
        <v/>
      </c>
      <c r="D8" s="640">
        <f>IFERROR(N(INDEX(Invoer!$E$38:$E$57,MATCH(2,Invoer!$BH$38:$BH$57,0))),0)</f>
        <v/>
      </c>
      <c r="E8" s="640">
        <f>IFERROR(N(INDEX(Invoer!$F$38:$F$57,MATCH(2,Invoer!$BH$38:$BH$57,0))),0)</f>
        <v/>
      </c>
      <c r="F8" s="640">
        <f>IFERROR(N(INDEX(Invoer!$G$38:$G$57,MATCH(2,Invoer!$BH$38:$BH$57,0))),0)</f>
        <v/>
      </c>
      <c r="G8" s="640">
        <f>IFERROR(N(INDEX(Invoer!$H$38:$H$57,MATCH(2,Invoer!$BH$38:$BH$57,0))),0)</f>
        <v/>
      </c>
      <c r="H8" s="640">
        <f>IFERROR(N(INDEX(Invoer!$I$38:$I$57,MATCH(2,Invoer!$BH$38:$BH$57,0))),0)</f>
        <v/>
      </c>
      <c r="I8" s="640">
        <f>IFERROR(N(INDEX(Invoer!$J$38:$J$57,MATCH(2,Invoer!$BH$38:$BH$57,0))),0)</f>
        <v/>
      </c>
      <c r="J8" s="640">
        <f>IFERROR(N(INDEX(Invoer!$K$38:$K$57,MATCH(2,Invoer!$BH$38:$BH$57,0))),0)</f>
        <v/>
      </c>
      <c r="K8" s="414">
        <f>IFERROR(IF(INDEX(Invoer!$L$38:$L$57,MATCH(2,Invoer!$BH$38:$BH$57,0))="","",INDEX(Invoer!$L$38:$L$57,MATCH(2,Invoer!$BH$38:$BH$57,0))),"")</f>
        <v/>
      </c>
      <c r="L8" s="642">
        <f>IFERROR(N(INDEX(Invoer!$M$38:$M$57,MATCH(2,Invoer!$BH$38:$BH$57,0))),0)</f>
        <v/>
      </c>
      <c r="M8" s="419">
        <f>IFERROR(IF(INDEX(Invoer!$BQ$38:$BQ$57,MATCH(2,Invoer!$BH$38:$BH$57,0))="","",INDEX(Invoer!$BQ$38:$BQ$57,MATCH(2,Invoer!$BH$38:$BH$57,0))),"")</f>
        <v/>
      </c>
      <c r="N8" s="419">
        <f>IFERROR(IF(INDEX(Invoer!$BR$38:$BR$57,MATCH(2,Invoer!$BH$38:$BH$57,0))="","",INDEX(Invoer!$BR$38:$BR$57,MATCH(2,Invoer!$BH$38:$BH$57,0))),"")</f>
        <v/>
      </c>
      <c r="O8" s="450" t="n"/>
      <c r="P8" s="416">
        <f>IFERROR(IF(INDEX(Invoer!$Q$38:$Q$57,MATCH(2,Invoer!$BH$38:$BH$57,0))="","",INDEX(Invoer!$Q$38:$Q$57,MATCH(2,Invoer!$BH$38:$BH$57,0))),"")</f>
        <v/>
      </c>
      <c r="Q8" s="450" t="n"/>
      <c r="R8" s="419">
        <f>IFERROR(IF(INDEX(Invoer!$R$38:$R$57,MATCH(2,Invoer!$BH$38:$BH$57,0))="","",INDEX(Invoer!$R$38:$R$57,MATCH(2,Invoer!$BH$38:$BH$57,0))),"")</f>
        <v/>
      </c>
      <c r="S8" s="450" t="n"/>
      <c r="T8" s="642">
        <f>IFERROR(N(INDEX(Invoer!$S$38:$S$57,MATCH(2,Invoer!$BH$38:$BH$57,0))),0)</f>
        <v/>
      </c>
      <c r="U8" s="419">
        <f>IFERROR(IF(INDEX(Invoer!$T$38:$T$57,MATCH(2,Invoer!$BH$38:$BH$57,0))="","",INDEX(Invoer!$T$38:$T$57,MATCH(2,Invoer!$BH$38:$BH$57,0))),"")</f>
        <v/>
      </c>
      <c r="W8" s="419">
        <f>IFERROR(IF(INDEX(Invoer!$U$38:$U$57,MATCH(2,Invoer!$BH$38:$BH$57,0))="","",INDEX(Invoer!$U$38:$U$57,MATCH(2,Invoer!$BH$38:$BH$57,0))),"")</f>
        <v/>
      </c>
      <c r="X8" s="419">
        <f>IFERROR(IF(INDEX(Invoer!$V$38:$V$57,MATCH(2,Invoer!$BH$38:$BH$57,0))="","",INDEX(Invoer!$V$38:$V$57,MATCH(2,Invoer!$BH$38:$BH$57,0))),"")</f>
        <v/>
      </c>
      <c r="Y8" s="419">
        <f>IFERROR(IF(INDEX(Invoer!$W$38:$W$57,MATCH(2,Invoer!$BH$38:$BH$57,0))="","",INDEX(Invoer!$W$38:$W$57,MATCH(2,Invoer!$BH$38:$BH$57,0))),"")</f>
        <v/>
      </c>
      <c r="AA8" s="642">
        <f>IFERROR(N(INDEX(Invoer!$X$38:$X$57,MATCH(2,Invoer!$BH$38:$BH$57,0))),0)</f>
        <v/>
      </c>
      <c r="AB8" s="642">
        <f>IFERROR(N(INDEX(Invoer!$Y$38:$Y$57,MATCH(2,Invoer!$BH$38:$BH$57,0))),0)</f>
        <v/>
      </c>
      <c r="AC8" s="642">
        <f>IFERROR(N(INDEX(Invoer!$Z$38:$Z$57,MATCH(2,Invoer!$BH$38:$BH$57,0))),0)</f>
        <v/>
      </c>
      <c r="AD8" s="642">
        <f>IFERROR(N(INDEX(Invoer!$AA$38:$AA$57,MATCH(2,Invoer!$BH$38:$BH$57,0))),0)</f>
        <v/>
      </c>
      <c r="AE8" s="642">
        <f>IFERROR(N(INDEX(Invoer!$AB$38:$AB$57,MATCH(2,Invoer!$BH$38:$BH$57,0))),0)</f>
        <v/>
      </c>
      <c r="AF8" s="642">
        <f>IFERROR(N(INDEX(Invoer!$AC$38:$AC$57,MATCH(2,Invoer!$BH$38:$BH$57,0))),0)</f>
        <v/>
      </c>
      <c r="AH8" s="642">
        <f>IFERROR(N(INDEX(Invoer!$BC$38:$BC$57,MATCH(2,Invoer!$BH$38:$BH$57,0))),0)</f>
        <v/>
      </c>
      <c r="AI8" s="450" t="n"/>
      <c r="AJ8" s="642">
        <f>IFERROR(N(INDEX(Invoer!$BD$38:$BD$57,MATCH(2,Invoer!$BH$38:$BH$57,0))),0)</f>
        <v/>
      </c>
      <c r="AK8" s="450" t="n"/>
      <c r="AL8" s="642">
        <f>IFERROR(N(INDEX(Invoer!$AD$38:$AD$57,MATCH(2,Invoer!$BH$38:$BH$57,0))),0)</f>
        <v/>
      </c>
      <c r="AN8" s="452">
        <f>((($AA$5*(IF(ISNUMBER($AA8),$AA8,0))+$AB$5*(IF(ISNUMBER($AB8),$AB8,0))+$AC$5*(IF(ISNUMBER($AC8),$AC8,0))+$AD$5*(IF(ISNUMBER($AD8),$AD8,0))+$AE$5*(IF(ISNUMBER($AE8),$AE8,0))+$AF$5*(IF(ISNUMBER($AF8),$AF8,0)))+(IF(ISNUMBER($AL8),$AL8,0)))*(IF(U8="j",1,IF(U8="m",12,IF(U8="w",52,IF(U8="d",365,0)))))*T8)*L8</f>
        <v/>
      </c>
      <c r="AO8" s="286" t="n"/>
      <c r="AP8" s="642">
        <f>IFERROR(N(INDEX(Invoer!$AL$38:$AL$57,MATCH(2,Invoer!$BH$38:$BH$57,0))),0)</f>
        <v/>
      </c>
      <c r="AQ8" s="642">
        <f>IFERROR(N(INDEX(Invoer!$AK$38:$AK$57,MATCH(2,Invoer!$BH$38:$BH$57,0))),0)</f>
        <v/>
      </c>
      <c r="AR8" s="642">
        <f>IFERROR(N(INDEX(Invoer!$AP$38:$AP$57,MATCH(2,Invoer!$BH$38:$BH$57,0))),0)</f>
        <v/>
      </c>
      <c r="AT8" s="453">
        <f>AP8+AQ8+AR8</f>
        <v/>
      </c>
      <c r="AV8" s="420">
        <f>IFERROR(IF(INDEX(Invoer!$BE$38:$BE$57,MATCH(2,Invoer!$BH$38:$BH$57,0))="","",INDEX(Invoer!$BE$38:$BE$57,MATCH(2,Invoer!$BH$38:$BH$57,0))),"")</f>
        <v/>
      </c>
    </row>
    <row r="9" ht="9.949999999999999" customHeight="1" s="189">
      <c r="A9" s="640">
        <f>IFERROR(N(INDEX(Invoer!$B$38:$B$57,MATCH(3,Invoer!$BH$38:$BH$57,0))),0)</f>
        <v/>
      </c>
      <c r="B9" s="640">
        <f>IFERROR(N(INDEX(Invoer!$C$38:$C$57,MATCH(3,Invoer!$BH$38:$BH$57,0))),0)</f>
        <v/>
      </c>
      <c r="C9" s="640">
        <f>IFERROR(N(INDEX(Invoer!$D$38:$D$57,MATCH(3,Invoer!$BH$38:$BH$57,0))),0)</f>
        <v/>
      </c>
      <c r="D9" s="640">
        <f>IFERROR(N(INDEX(Invoer!$E$38:$E$57,MATCH(3,Invoer!$BH$38:$BH$57,0))),0)</f>
        <v/>
      </c>
      <c r="E9" s="640">
        <f>IFERROR(N(INDEX(Invoer!$F$38:$F$57,MATCH(3,Invoer!$BH$38:$BH$57,0))),0)</f>
        <v/>
      </c>
      <c r="F9" s="640">
        <f>IFERROR(N(INDEX(Invoer!$G$38:$G$57,MATCH(3,Invoer!$BH$38:$BH$57,0))),0)</f>
        <v/>
      </c>
      <c r="G9" s="640">
        <f>IFERROR(N(INDEX(Invoer!$H$38:$H$57,MATCH(3,Invoer!$BH$38:$BH$57,0))),0)</f>
        <v/>
      </c>
      <c r="H9" s="640">
        <f>IFERROR(N(INDEX(Invoer!$I$38:$I$57,MATCH(3,Invoer!$BH$38:$BH$57,0))),0)</f>
        <v/>
      </c>
      <c r="I9" s="640">
        <f>IFERROR(N(INDEX(Invoer!$J$38:$J$57,MATCH(3,Invoer!$BH$38:$BH$57,0))),0)</f>
        <v/>
      </c>
      <c r="J9" s="640">
        <f>IFERROR(N(INDEX(Invoer!$K$38:$K$57,MATCH(3,Invoer!$BH$38:$BH$57,0))),0)</f>
        <v/>
      </c>
      <c r="K9" s="414">
        <f>IFERROR(IF(INDEX(Invoer!$L$38:$L$57,MATCH(3,Invoer!$BH$38:$BH$57,0))="","",INDEX(Invoer!$L$38:$L$57,MATCH(3,Invoer!$BH$38:$BH$57,0))),"")</f>
        <v/>
      </c>
      <c r="L9" s="642">
        <f>IFERROR(N(INDEX(Invoer!$M$38:$M$57,MATCH(3,Invoer!$BH$38:$BH$57,0))),0)</f>
        <v/>
      </c>
      <c r="M9" s="419">
        <f>IFERROR(IF(INDEX(Invoer!$BQ$38:$BQ$57,MATCH(3,Invoer!$BH$38:$BH$57,0))="","",INDEX(Invoer!$BQ$38:$BQ$57,MATCH(3,Invoer!$BH$38:$BH$57,0))),"")</f>
        <v/>
      </c>
      <c r="N9" s="419">
        <f>IFERROR(IF(INDEX(Invoer!$BR$38:$BR$57,MATCH(3,Invoer!$BH$38:$BH$57,0))="","",INDEX(Invoer!$BR$38:$BR$57,MATCH(3,Invoer!$BH$38:$BH$57,0))),"")</f>
        <v/>
      </c>
      <c r="O9" s="450" t="n"/>
      <c r="P9" s="416">
        <f>IFERROR(IF(INDEX(Invoer!$Q$38:$Q$57,MATCH(3,Invoer!$BH$38:$BH$57,0))="","",INDEX(Invoer!$Q$38:$Q$57,MATCH(3,Invoer!$BH$38:$BH$57,0))),"")</f>
        <v/>
      </c>
      <c r="Q9" s="450" t="n"/>
      <c r="R9" s="419">
        <f>IFERROR(IF(INDEX(Invoer!$R$38:$R$57,MATCH(3,Invoer!$BH$38:$BH$57,0))="","",INDEX(Invoer!$R$38:$R$57,MATCH(3,Invoer!$BH$38:$BH$57,0))),"")</f>
        <v/>
      </c>
      <c r="S9" s="450" t="n"/>
      <c r="T9" s="642">
        <f>IFERROR(N(INDEX(Invoer!$S$38:$S$57,MATCH(3,Invoer!$BH$38:$BH$57,0))),0)</f>
        <v/>
      </c>
      <c r="U9" s="419">
        <f>IFERROR(IF(INDEX(Invoer!$T$38:$T$57,MATCH(3,Invoer!$BH$38:$BH$57,0))="","",INDEX(Invoer!$T$38:$T$57,MATCH(3,Invoer!$BH$38:$BH$57,0))),"")</f>
        <v/>
      </c>
      <c r="W9" s="419">
        <f>IFERROR(IF(INDEX(Invoer!$U$38:$U$57,MATCH(3,Invoer!$BH$38:$BH$57,0))="","",INDEX(Invoer!$U$38:$U$57,MATCH(3,Invoer!$BH$38:$BH$57,0))),"")</f>
        <v/>
      </c>
      <c r="X9" s="419">
        <f>IFERROR(IF(INDEX(Invoer!$V$38:$V$57,MATCH(3,Invoer!$BH$38:$BH$57,0))="","",INDEX(Invoer!$V$38:$V$57,MATCH(3,Invoer!$BH$38:$BH$57,0))),"")</f>
        <v/>
      </c>
      <c r="Y9" s="419">
        <f>IFERROR(IF(INDEX(Invoer!$W$38:$W$57,MATCH(3,Invoer!$BH$38:$BH$57,0))="","",INDEX(Invoer!$W$38:$W$57,MATCH(3,Invoer!$BH$38:$BH$57,0))),"")</f>
        <v/>
      </c>
      <c r="AA9" s="642">
        <f>IFERROR(N(INDEX(Invoer!$X$38:$X$57,MATCH(3,Invoer!$BH$38:$BH$57,0))),0)</f>
        <v/>
      </c>
      <c r="AB9" s="642">
        <f>IFERROR(N(INDEX(Invoer!$Y$38:$Y$57,MATCH(3,Invoer!$BH$38:$BH$57,0))),0)</f>
        <v/>
      </c>
      <c r="AC9" s="642">
        <f>IFERROR(N(INDEX(Invoer!$Z$38:$Z$57,MATCH(3,Invoer!$BH$38:$BH$57,0))),0)</f>
        <v/>
      </c>
      <c r="AD9" s="642">
        <f>IFERROR(N(INDEX(Invoer!$AA$38:$AA$57,MATCH(3,Invoer!$BH$38:$BH$57,0))),0)</f>
        <v/>
      </c>
      <c r="AE9" s="642">
        <f>IFERROR(N(INDEX(Invoer!$AB$38:$AB$57,MATCH(3,Invoer!$BH$38:$BH$57,0))),0)</f>
        <v/>
      </c>
      <c r="AF9" s="642">
        <f>IFERROR(N(INDEX(Invoer!$AC$38:$AC$57,MATCH(3,Invoer!$BH$38:$BH$57,0))),0)</f>
        <v/>
      </c>
      <c r="AH9" s="642">
        <f>IFERROR(N(INDEX(Invoer!$BC$38:$BC$57,MATCH(3,Invoer!$BH$38:$BH$57,0))),0)</f>
        <v/>
      </c>
      <c r="AI9" s="450" t="n"/>
      <c r="AJ9" s="642">
        <f>IFERROR(N(INDEX(Invoer!$BD$38:$BD$57,MATCH(3,Invoer!$BH$38:$BH$57,0))),0)</f>
        <v/>
      </c>
      <c r="AK9" s="450" t="n"/>
      <c r="AL9" s="642">
        <f>IFERROR(N(INDEX(Invoer!$AD$38:$AD$57,MATCH(3,Invoer!$BH$38:$BH$57,0))),0)</f>
        <v/>
      </c>
      <c r="AN9" s="452">
        <f>((($AA$5*(IF(ISNUMBER($AA9),$AA9,0))+$AB$5*(IF(ISNUMBER($AB9),$AB9,0))+$AC$5*(IF(ISNUMBER($AC9),$AC9,0))+$AD$5*(IF(ISNUMBER($AD9),$AD9,0))+$AE$5*(IF(ISNUMBER($AE9),$AE9,0))+$AF$5*(IF(ISNUMBER($AF9),$AF9,0)))+(IF(ISNUMBER($AL9),$AL9,0)))*(IF(U9="j",1,IF(U9="m",12,IF(U9="w",52,IF(U9="d",365,0)))))*T9)*L9</f>
        <v/>
      </c>
      <c r="AO9" s="286" t="n"/>
      <c r="AP9" s="642">
        <f>IFERROR(N(INDEX(Invoer!$AL$38:$AL$57,MATCH(3,Invoer!$BH$38:$BH$57,0))),0)</f>
        <v/>
      </c>
      <c r="AQ9" s="642">
        <f>IFERROR(N(INDEX(Invoer!$AK$38:$AK$57,MATCH(3,Invoer!$BH$38:$BH$57,0))),0)</f>
        <v/>
      </c>
      <c r="AR9" s="642">
        <f>IFERROR(N(INDEX(Invoer!$AP$38:$AP$57,MATCH(3,Invoer!$BH$38:$BH$57,0))),0)</f>
        <v/>
      </c>
      <c r="AT9" s="453">
        <f>AP9+AQ9+AR9</f>
        <v/>
      </c>
      <c r="AV9" s="420">
        <f>IFERROR(IF(INDEX(Invoer!$BE$38:$BE$57,MATCH(3,Invoer!$BH$38:$BH$57,0))="","",INDEX(Invoer!$BE$38:$BE$57,MATCH(3,Invoer!$BH$38:$BH$57,0))),"")</f>
        <v/>
      </c>
    </row>
    <row r="10" ht="9.949999999999999" customHeight="1" s="189">
      <c r="A10" s="640">
        <f>IFERROR(N(INDEX(Invoer!$B$38:$B$57,MATCH(4,Invoer!$BH$38:$BH$57,0))),0)</f>
        <v/>
      </c>
      <c r="B10" s="641">
        <f>IFERROR(N(INDEX(Invoer!$C$38:$C$57,MATCH(4,Invoer!$BH$38:$BH$57,0))),0)</f>
        <v/>
      </c>
      <c r="C10" s="640">
        <f>IFERROR(N(INDEX(Invoer!$D$38:$D$57,MATCH(4,Invoer!$BH$38:$BH$57,0))),0)</f>
        <v/>
      </c>
      <c r="D10" s="640">
        <f>IFERROR(N(INDEX(Invoer!$E$38:$E$57,MATCH(4,Invoer!$BH$38:$BH$57,0))),0)</f>
        <v/>
      </c>
      <c r="E10" s="640">
        <f>IFERROR(N(INDEX(Invoer!$F$38:$F$57,MATCH(4,Invoer!$BH$38:$BH$57,0))),0)</f>
        <v/>
      </c>
      <c r="F10" s="640">
        <f>IFERROR(N(INDEX(Invoer!$G$38:$G$57,MATCH(4,Invoer!$BH$38:$BH$57,0))),0)</f>
        <v/>
      </c>
      <c r="G10" s="640">
        <f>IFERROR(N(INDEX(Invoer!$H$38:$H$57,MATCH(4,Invoer!$BH$38:$BH$57,0))),0)</f>
        <v/>
      </c>
      <c r="H10" s="640">
        <f>IFERROR(N(INDEX(Invoer!$I$38:$I$57,MATCH(4,Invoer!$BH$38:$BH$57,0))),0)</f>
        <v/>
      </c>
      <c r="I10" s="640">
        <f>IFERROR(N(INDEX(Invoer!$J$38:$J$57,MATCH(4,Invoer!$BH$38:$BH$57,0))),0)</f>
        <v/>
      </c>
      <c r="J10" s="640">
        <f>IFERROR(N(INDEX(Invoer!$K$38:$K$57,MATCH(4,Invoer!$BH$38:$BH$57,0))),0)</f>
        <v/>
      </c>
      <c r="K10" s="414">
        <f>IFERROR(IF(INDEX(Invoer!$L$38:$L$57,MATCH(4,Invoer!$BH$38:$BH$57,0))="","",INDEX(Invoer!$L$38:$L$57,MATCH(4,Invoer!$BH$38:$BH$57,0))),"")</f>
        <v/>
      </c>
      <c r="L10" s="642">
        <f>IFERROR(N(INDEX(Invoer!$M$38:$M$57,MATCH(4,Invoer!$BH$38:$BH$57,0))),0)</f>
        <v/>
      </c>
      <c r="M10" s="419">
        <f>IFERROR(IF(INDEX(Invoer!$BQ$38:$BQ$57,MATCH(4,Invoer!$BH$38:$BH$57,0))="","",INDEX(Invoer!$BQ$38:$BQ$57,MATCH(4,Invoer!$BH$38:$BH$57,0))),"")</f>
        <v/>
      </c>
      <c r="N10" s="419">
        <f>IFERROR(IF(INDEX(Invoer!$BR$38:$BR$57,MATCH(4,Invoer!$BH$38:$BH$57,0))="","",INDEX(Invoer!$BR$38:$BR$57,MATCH(4,Invoer!$BH$38:$BH$57,0))),"")</f>
        <v/>
      </c>
      <c r="O10" s="450" t="n"/>
      <c r="P10" s="416">
        <f>IFERROR(IF(INDEX(Invoer!$Q$38:$Q$57,MATCH(4,Invoer!$BH$38:$BH$57,0))="","",INDEX(Invoer!$Q$38:$Q$57,MATCH(4,Invoer!$BH$38:$BH$57,0))),"")</f>
        <v/>
      </c>
      <c r="Q10" s="450" t="n"/>
      <c r="R10" s="419">
        <f>IFERROR(IF(INDEX(Invoer!$R$38:$R$57,MATCH(4,Invoer!$BH$38:$BH$57,0))="","",INDEX(Invoer!$R$38:$R$57,MATCH(4,Invoer!$BH$38:$BH$57,0))),"")</f>
        <v/>
      </c>
      <c r="S10" s="450" t="n"/>
      <c r="T10" s="642">
        <f>IFERROR(N(INDEX(Invoer!$S$38:$S$57,MATCH(4,Invoer!$BH$38:$BH$57,0))),0)</f>
        <v/>
      </c>
      <c r="U10" s="419">
        <f>IFERROR(IF(INDEX(Invoer!$T$38:$T$57,MATCH(4,Invoer!$BH$38:$BH$57,0))="","",INDEX(Invoer!$T$38:$T$57,MATCH(4,Invoer!$BH$38:$BH$57,0))),"")</f>
        <v/>
      </c>
      <c r="W10" s="419">
        <f>IFERROR(IF(INDEX(Invoer!$U$38:$U$57,MATCH(4,Invoer!$BH$38:$BH$57,0))="","",INDEX(Invoer!$U$38:$U$57,MATCH(4,Invoer!$BH$38:$BH$57,0))),"")</f>
        <v/>
      </c>
      <c r="X10" s="419">
        <f>IFERROR(IF(INDEX(Invoer!$V$38:$V$57,MATCH(4,Invoer!$BH$38:$BH$57,0))="","",INDEX(Invoer!$V$38:$V$57,MATCH(4,Invoer!$BH$38:$BH$57,0))),"")</f>
        <v/>
      </c>
      <c r="Y10" s="419">
        <f>IFERROR(IF(INDEX(Invoer!$W$38:$W$57,MATCH(4,Invoer!$BH$38:$BH$57,0))="","",INDEX(Invoer!$W$38:$W$57,MATCH(4,Invoer!$BH$38:$BH$57,0))),"")</f>
        <v/>
      </c>
      <c r="AA10" s="642">
        <f>IFERROR(N(INDEX(Invoer!$X$38:$X$57,MATCH(4,Invoer!$BH$38:$BH$57,0))),0)</f>
        <v/>
      </c>
      <c r="AB10" s="642">
        <f>IFERROR(N(INDEX(Invoer!$Y$38:$Y$57,MATCH(4,Invoer!$BH$38:$BH$57,0))),0)</f>
        <v/>
      </c>
      <c r="AC10" s="642">
        <f>IFERROR(N(INDEX(Invoer!$Z$38:$Z$57,MATCH(4,Invoer!$BH$38:$BH$57,0))),0)</f>
        <v/>
      </c>
      <c r="AD10" s="642">
        <f>IFERROR(N(INDEX(Invoer!$AA$38:$AA$57,MATCH(4,Invoer!$BH$38:$BH$57,0))),0)</f>
        <v/>
      </c>
      <c r="AE10" s="642">
        <f>IFERROR(N(INDEX(Invoer!$AB$38:$AB$57,MATCH(4,Invoer!$BH$38:$BH$57,0))),0)</f>
        <v/>
      </c>
      <c r="AF10" s="642">
        <f>IFERROR(N(INDEX(Invoer!$AC$38:$AC$57,MATCH(4,Invoer!$BH$38:$BH$57,0))),0)</f>
        <v/>
      </c>
      <c r="AH10" s="642">
        <f>IFERROR(N(INDEX(Invoer!$BC$38:$BC$57,MATCH(4,Invoer!$BH$38:$BH$57,0))),0)</f>
        <v/>
      </c>
      <c r="AI10" s="450" t="n"/>
      <c r="AJ10" s="642">
        <f>IFERROR(N(INDEX(Invoer!$BD$38:$BD$57,MATCH(4,Invoer!$BH$38:$BH$57,0))),0)</f>
        <v/>
      </c>
      <c r="AK10" s="450" t="n"/>
      <c r="AL10" s="642">
        <f>IFERROR(N(INDEX(Invoer!$AD$38:$AD$57,MATCH(4,Invoer!$BH$38:$BH$57,0))),0)</f>
        <v/>
      </c>
      <c r="AN10" s="452">
        <f>((($AA$5*(IF(ISNUMBER($AA10),$AA10,0))+$AB$5*(IF(ISNUMBER($AB10),$AB10,0))+$AC$5*(IF(ISNUMBER($AC10),$AC10,0))+$AD$5*(IF(ISNUMBER($AD10),$AD10,0))+$AE$5*(IF(ISNUMBER($AE10),$AE10,0))+$AF$5*(IF(ISNUMBER($AF10),$AF10,0)))+(IF(ISNUMBER($AL10),$AL10,0)))*(IF(U10="j",1,IF(U10="m",12,IF(U10="w",52,IF(U10="d",365,0)))))*T10)*L10</f>
        <v/>
      </c>
      <c r="AO10" s="286" t="n"/>
      <c r="AP10" s="642">
        <f>IFERROR(N(INDEX(Invoer!$AL$38:$AL$57,MATCH(4,Invoer!$BH$38:$BH$57,0))),0)</f>
        <v/>
      </c>
      <c r="AQ10" s="642">
        <f>IFERROR(N(INDEX(Invoer!$AK$38:$AK$57,MATCH(4,Invoer!$BH$38:$BH$57,0))),0)</f>
        <v/>
      </c>
      <c r="AR10" s="642">
        <f>IFERROR(N(INDEX(Invoer!$AP$38:$AP$57,MATCH(4,Invoer!$BH$38:$BH$57,0))),0)</f>
        <v/>
      </c>
      <c r="AT10" s="453">
        <f>AP10+AQ10+AR10</f>
        <v/>
      </c>
      <c r="AV10" s="420">
        <f>IFERROR(IF(INDEX(Invoer!$BE$38:$BE$57,MATCH(4,Invoer!$BH$38:$BH$57,0))="","",INDEX(Invoer!$BE$38:$BE$57,MATCH(4,Invoer!$BH$38:$BH$57,0))),"")</f>
        <v/>
      </c>
    </row>
    <row r="11" ht="9.949999999999999" customHeight="1" s="189">
      <c r="A11" s="640">
        <f>IFERROR(N(INDEX(Invoer!$B$38:$B$57,MATCH(5,Invoer!$BH$38:$BH$57,0))),0)</f>
        <v/>
      </c>
      <c r="B11" s="640">
        <f>IFERROR(N(INDEX(Invoer!$C$38:$C$57,MATCH(5,Invoer!$BH$38:$BH$57,0))),0)</f>
        <v/>
      </c>
      <c r="C11" s="640">
        <f>IFERROR(N(INDEX(Invoer!$D$38:$D$57,MATCH(5,Invoer!$BH$38:$BH$57,0))),0)</f>
        <v/>
      </c>
      <c r="D11" s="640">
        <f>IFERROR(N(INDEX(Invoer!$E$38:$E$57,MATCH(5,Invoer!$BH$38:$BH$57,0))),0)</f>
        <v/>
      </c>
      <c r="E11" s="640">
        <f>IFERROR(N(INDEX(Invoer!$F$38:$F$57,MATCH(5,Invoer!$BH$38:$BH$57,0))),0)</f>
        <v/>
      </c>
      <c r="F11" s="640">
        <f>IFERROR(N(INDEX(Invoer!$G$38:$G$57,MATCH(5,Invoer!$BH$38:$BH$57,0))),0)</f>
        <v/>
      </c>
      <c r="G11" s="640">
        <f>IFERROR(N(INDEX(Invoer!$H$38:$H$57,MATCH(5,Invoer!$BH$38:$BH$57,0))),0)</f>
        <v/>
      </c>
      <c r="H11" s="640">
        <f>IFERROR(N(INDEX(Invoer!$I$38:$I$57,MATCH(5,Invoer!$BH$38:$BH$57,0))),0)</f>
        <v/>
      </c>
      <c r="I11" s="640">
        <f>IFERROR(N(INDEX(Invoer!$J$38:$J$57,MATCH(5,Invoer!$BH$38:$BH$57,0))),0)</f>
        <v/>
      </c>
      <c r="J11" s="640">
        <f>IFERROR(N(INDEX(Invoer!$K$38:$K$57,MATCH(5,Invoer!$BH$38:$BH$57,0))),0)</f>
        <v/>
      </c>
      <c r="K11" s="414">
        <f>IFERROR(IF(INDEX(Invoer!$L$38:$L$57,MATCH(5,Invoer!$BH$38:$BH$57,0))="","",INDEX(Invoer!$L$38:$L$57,MATCH(5,Invoer!$BH$38:$BH$57,0))),"")</f>
        <v/>
      </c>
      <c r="L11" s="642">
        <f>IFERROR(N(INDEX(Invoer!$M$38:$M$57,MATCH(5,Invoer!$BH$38:$BH$57,0))),0)</f>
        <v/>
      </c>
      <c r="M11" s="419">
        <f>IFERROR(IF(INDEX(Invoer!$BQ$38:$BQ$57,MATCH(5,Invoer!$BH$38:$BH$57,0))="","",INDEX(Invoer!$BQ$38:$BQ$57,MATCH(5,Invoer!$BH$38:$BH$57,0))),"")</f>
        <v/>
      </c>
      <c r="N11" s="419">
        <f>IFERROR(IF(INDEX(Invoer!$BR$38:$BR$57,MATCH(5,Invoer!$BH$38:$BH$57,0))="","",INDEX(Invoer!$BR$38:$BR$57,MATCH(5,Invoer!$BH$38:$BH$57,0))),"")</f>
        <v/>
      </c>
      <c r="O11" s="450" t="n"/>
      <c r="P11" s="416">
        <f>IFERROR(IF(INDEX(Invoer!$Q$38:$Q$57,MATCH(5,Invoer!$BH$38:$BH$57,0))="","",INDEX(Invoer!$Q$38:$Q$57,MATCH(5,Invoer!$BH$38:$BH$57,0))),"")</f>
        <v/>
      </c>
      <c r="Q11" s="450" t="n"/>
      <c r="R11" s="419">
        <f>IFERROR(IF(INDEX(Invoer!$R$38:$R$57,MATCH(5,Invoer!$BH$38:$BH$57,0))="","",INDEX(Invoer!$R$38:$R$57,MATCH(5,Invoer!$BH$38:$BH$57,0))),"")</f>
        <v/>
      </c>
      <c r="S11" s="450" t="n"/>
      <c r="T11" s="642">
        <f>IFERROR(N(INDEX(Invoer!$S$38:$S$57,MATCH(5,Invoer!$BH$38:$BH$57,0))),0)</f>
        <v/>
      </c>
      <c r="U11" s="419">
        <f>IFERROR(IF(INDEX(Invoer!$T$38:$T$57,MATCH(5,Invoer!$BH$38:$BH$57,0))="","",INDEX(Invoer!$T$38:$T$57,MATCH(5,Invoer!$BH$38:$BH$57,0))),"")</f>
        <v/>
      </c>
      <c r="W11" s="419">
        <f>IFERROR(IF(INDEX(Invoer!$U$38:$U$57,MATCH(5,Invoer!$BH$38:$BH$57,0))="","",INDEX(Invoer!$U$38:$U$57,MATCH(5,Invoer!$BH$38:$BH$57,0))),"")</f>
        <v/>
      </c>
      <c r="X11" s="419">
        <f>IFERROR(IF(INDEX(Invoer!$V$38:$V$57,MATCH(5,Invoer!$BH$38:$BH$57,0))="","",INDEX(Invoer!$V$38:$V$57,MATCH(5,Invoer!$BH$38:$BH$57,0))),"")</f>
        <v/>
      </c>
      <c r="Y11" s="419">
        <f>IFERROR(IF(INDEX(Invoer!$W$38:$W$57,MATCH(5,Invoer!$BH$38:$BH$57,0))="","",INDEX(Invoer!$W$38:$W$57,MATCH(5,Invoer!$BH$38:$BH$57,0))),"")</f>
        <v/>
      </c>
      <c r="AA11" s="642">
        <f>IFERROR(N(INDEX(Invoer!$X$38:$X$57,MATCH(5,Invoer!$BH$38:$BH$57,0))),0)</f>
        <v/>
      </c>
      <c r="AB11" s="642">
        <f>IFERROR(N(INDEX(Invoer!$Y$38:$Y$57,MATCH(5,Invoer!$BH$38:$BH$57,0))),0)</f>
        <v/>
      </c>
      <c r="AC11" s="642">
        <f>IFERROR(N(INDEX(Invoer!$Z$38:$Z$57,MATCH(5,Invoer!$BH$38:$BH$57,0))),0)</f>
        <v/>
      </c>
      <c r="AD11" s="642">
        <f>IFERROR(N(INDEX(Invoer!$AA$38:$AA$57,MATCH(5,Invoer!$BH$38:$BH$57,0))),0)</f>
        <v/>
      </c>
      <c r="AE11" s="642">
        <f>IFERROR(N(INDEX(Invoer!$AB$38:$AB$57,MATCH(5,Invoer!$BH$38:$BH$57,0))),0)</f>
        <v/>
      </c>
      <c r="AF11" s="642">
        <f>IFERROR(N(INDEX(Invoer!$AC$38:$AC$57,MATCH(5,Invoer!$BH$38:$BH$57,0))),0)</f>
        <v/>
      </c>
      <c r="AH11" s="642">
        <f>IFERROR(N(INDEX(Invoer!$BC$38:$BC$57,MATCH(5,Invoer!$BH$38:$BH$57,0))),0)</f>
        <v/>
      </c>
      <c r="AI11" s="450" t="n"/>
      <c r="AJ11" s="642">
        <f>IFERROR(N(INDEX(Invoer!$BD$38:$BD$57,MATCH(5,Invoer!$BH$38:$BH$57,0))),0)</f>
        <v/>
      </c>
      <c r="AK11" s="450" t="n"/>
      <c r="AL11" s="642">
        <f>IFERROR(N(INDEX(Invoer!$AD$38:$AD$57,MATCH(5,Invoer!$BH$38:$BH$57,0))),0)</f>
        <v/>
      </c>
      <c r="AN11" s="452">
        <f>((($AA$5*(IF(ISNUMBER($AA11),$AA11,0))+$AB$5*(IF(ISNUMBER($AB11),$AB11,0))+$AC$5*(IF(ISNUMBER($AC11),$AC11,0))+$AD$5*(IF(ISNUMBER($AD11),$AD11,0))+$AE$5*(IF(ISNUMBER($AE11),$AE11,0))+$AF$5*(IF(ISNUMBER($AF11),$AF11,0)))+(IF(ISNUMBER($AL11),$AL11,0)))*(IF(U11="j",1,IF(U11="m",12,IF(U11="w",52,IF(U11="d",365,0)))))*T11)*L11</f>
        <v/>
      </c>
      <c r="AO11" s="286" t="n"/>
      <c r="AP11" s="642">
        <f>IFERROR(N(INDEX(Invoer!$AL$38:$AL$57,MATCH(5,Invoer!$BH$38:$BH$57,0))),0)</f>
        <v/>
      </c>
      <c r="AQ11" s="642">
        <f>IFERROR(N(INDEX(Invoer!$AK$38:$AK$57,MATCH(5,Invoer!$BH$38:$BH$57,0))),0)</f>
        <v/>
      </c>
      <c r="AR11" s="642">
        <f>IFERROR(N(INDEX(Invoer!$AP$38:$AP$57,MATCH(5,Invoer!$BH$38:$BH$57,0))),0)</f>
        <v/>
      </c>
      <c r="AT11" s="453">
        <f>AP11+AQ11+AR11</f>
        <v/>
      </c>
      <c r="AV11" s="420">
        <f>IFERROR(IF(INDEX(Invoer!$BE$38:$BE$57,MATCH(5,Invoer!$BH$38:$BH$57,0))="","",INDEX(Invoer!$BE$38:$BE$57,MATCH(5,Invoer!$BH$38:$BH$57,0))),"")</f>
        <v/>
      </c>
    </row>
    <row r="12" ht="9.949999999999999" customHeight="1" s="189">
      <c r="A12" s="640">
        <f>IFERROR(N(INDEX(Invoer!$B$38:$B$57,MATCH(6,Invoer!$BH$38:$BH$57,0))),0)</f>
        <v/>
      </c>
      <c r="B12" s="640">
        <f>IFERROR(N(INDEX(Invoer!$C$38:$C$57,MATCH(6,Invoer!$BH$38:$BH$57,0))),0)</f>
        <v/>
      </c>
      <c r="C12" s="640">
        <f>IFERROR(N(INDEX(Invoer!$D$38:$D$57,MATCH(6,Invoer!$BH$38:$BH$57,0))),0)</f>
        <v/>
      </c>
      <c r="D12" s="640">
        <f>IFERROR(N(INDEX(Invoer!$E$38:$E$57,MATCH(6,Invoer!$BH$38:$BH$57,0))),0)</f>
        <v/>
      </c>
      <c r="E12" s="640">
        <f>IFERROR(N(INDEX(Invoer!$F$38:$F$57,MATCH(6,Invoer!$BH$38:$BH$57,0))),0)</f>
        <v/>
      </c>
      <c r="F12" s="640">
        <f>IFERROR(N(INDEX(Invoer!$G$38:$G$57,MATCH(6,Invoer!$BH$38:$BH$57,0))),0)</f>
        <v/>
      </c>
      <c r="G12" s="640">
        <f>IFERROR(N(INDEX(Invoer!$H$38:$H$57,MATCH(6,Invoer!$BH$38:$BH$57,0))),0)</f>
        <v/>
      </c>
      <c r="H12" s="640">
        <f>IFERROR(N(INDEX(Invoer!$I$38:$I$57,MATCH(6,Invoer!$BH$38:$BH$57,0))),0)</f>
        <v/>
      </c>
      <c r="I12" s="640">
        <f>IFERROR(N(INDEX(Invoer!$J$38:$J$57,MATCH(6,Invoer!$BH$38:$BH$57,0))),0)</f>
        <v/>
      </c>
      <c r="J12" s="640">
        <f>IFERROR(N(INDEX(Invoer!$K$38:$K$57,MATCH(6,Invoer!$BH$38:$BH$57,0))),0)</f>
        <v/>
      </c>
      <c r="K12" s="414">
        <f>IFERROR(IF(INDEX(Invoer!$L$38:$L$57,MATCH(6,Invoer!$BH$38:$BH$57,0))="","",INDEX(Invoer!$L$38:$L$57,MATCH(6,Invoer!$BH$38:$BH$57,0))),"")</f>
        <v/>
      </c>
      <c r="L12" s="642">
        <f>IFERROR(N(INDEX(Invoer!$M$38:$M$57,MATCH(6,Invoer!$BH$38:$BH$57,0))),0)</f>
        <v/>
      </c>
      <c r="M12" s="419">
        <f>IFERROR(IF(INDEX(Invoer!$BQ$38:$BQ$57,MATCH(6,Invoer!$BH$38:$BH$57,0))="","",INDEX(Invoer!$BQ$38:$BQ$57,MATCH(6,Invoer!$BH$38:$BH$57,0))),"")</f>
        <v/>
      </c>
      <c r="N12" s="419">
        <f>IFERROR(IF(INDEX(Invoer!$BR$38:$BR$57,MATCH(6,Invoer!$BH$38:$BH$57,0))="","",INDEX(Invoer!$BR$38:$BR$57,MATCH(6,Invoer!$BH$38:$BH$57,0))),"")</f>
        <v/>
      </c>
      <c r="O12" s="450" t="n"/>
      <c r="P12" s="416">
        <f>IFERROR(IF(INDEX(Invoer!$Q$38:$Q$57,MATCH(6,Invoer!$BH$38:$BH$57,0))="","",INDEX(Invoer!$Q$38:$Q$57,MATCH(6,Invoer!$BH$38:$BH$57,0))),"")</f>
        <v/>
      </c>
      <c r="Q12" s="450" t="n"/>
      <c r="R12" s="419">
        <f>IFERROR(IF(INDEX(Invoer!$R$38:$R$57,MATCH(6,Invoer!$BH$38:$BH$57,0))="","",INDEX(Invoer!$R$38:$R$57,MATCH(6,Invoer!$BH$38:$BH$57,0))),"")</f>
        <v/>
      </c>
      <c r="S12" s="450" t="n"/>
      <c r="T12" s="642">
        <f>IFERROR(N(INDEX(Invoer!$S$38:$S$57,MATCH(6,Invoer!$BH$38:$BH$57,0))),0)</f>
        <v/>
      </c>
      <c r="U12" s="419">
        <f>IFERROR(IF(INDEX(Invoer!$T$38:$T$57,MATCH(6,Invoer!$BH$38:$BH$57,0))="","",INDEX(Invoer!$T$38:$T$57,MATCH(6,Invoer!$BH$38:$BH$57,0))),"")</f>
        <v/>
      </c>
      <c r="W12" s="419">
        <f>IFERROR(IF(INDEX(Invoer!$U$38:$U$57,MATCH(6,Invoer!$BH$38:$BH$57,0))="","",INDEX(Invoer!$U$38:$U$57,MATCH(6,Invoer!$BH$38:$BH$57,0))),"")</f>
        <v/>
      </c>
      <c r="X12" s="419">
        <f>IFERROR(IF(INDEX(Invoer!$V$38:$V$57,MATCH(6,Invoer!$BH$38:$BH$57,0))="","",INDEX(Invoer!$V$38:$V$57,MATCH(6,Invoer!$BH$38:$BH$57,0))),"")</f>
        <v/>
      </c>
      <c r="Y12" s="419">
        <f>IFERROR(IF(INDEX(Invoer!$W$38:$W$57,MATCH(6,Invoer!$BH$38:$BH$57,0))="","",INDEX(Invoer!$W$38:$W$57,MATCH(6,Invoer!$BH$38:$BH$57,0))),"")</f>
        <v/>
      </c>
      <c r="AA12" s="642">
        <f>IFERROR(N(INDEX(Invoer!$X$38:$X$57,MATCH(6,Invoer!$BH$38:$BH$57,0))),0)</f>
        <v/>
      </c>
      <c r="AB12" s="642">
        <f>IFERROR(N(INDEX(Invoer!$Y$38:$Y$57,MATCH(6,Invoer!$BH$38:$BH$57,0))),0)</f>
        <v/>
      </c>
      <c r="AC12" s="642">
        <f>IFERROR(N(INDEX(Invoer!$Z$38:$Z$57,MATCH(6,Invoer!$BH$38:$BH$57,0))),0)</f>
        <v/>
      </c>
      <c r="AD12" s="642">
        <f>IFERROR(N(INDEX(Invoer!$AA$38:$AA$57,MATCH(6,Invoer!$BH$38:$BH$57,0))),0)</f>
        <v/>
      </c>
      <c r="AE12" s="642">
        <f>IFERROR(N(INDEX(Invoer!$AB$38:$AB$57,MATCH(6,Invoer!$BH$38:$BH$57,0))),0)</f>
        <v/>
      </c>
      <c r="AF12" s="642">
        <f>IFERROR(N(INDEX(Invoer!$AC$38:$AC$57,MATCH(6,Invoer!$BH$38:$BH$57,0))),0)</f>
        <v/>
      </c>
      <c r="AH12" s="642">
        <f>IFERROR(N(INDEX(Invoer!$BC$38:$BC$57,MATCH(6,Invoer!$BH$38:$BH$57,0))),0)</f>
        <v/>
      </c>
      <c r="AI12" s="450" t="n"/>
      <c r="AJ12" s="642">
        <f>IFERROR(N(INDEX(Invoer!$BD$38:$BD$57,MATCH(6,Invoer!$BH$38:$BH$57,0))),0)</f>
        <v/>
      </c>
      <c r="AK12" s="450" t="n"/>
      <c r="AL12" s="642">
        <f>IFERROR(N(INDEX(Invoer!$AD$38:$AD$57,MATCH(6,Invoer!$BH$38:$BH$57,0))),0)</f>
        <v/>
      </c>
      <c r="AN12" s="452">
        <f>((($AA$5*(IF(ISNUMBER($AA12),$AA12,0))+$AB$5*(IF(ISNUMBER($AB12),$AB12,0))+$AC$5*(IF(ISNUMBER($AC12),$AC12,0))+$AD$5*(IF(ISNUMBER($AD12),$AD12,0))+$AE$5*(IF(ISNUMBER($AE12),$AE12,0))+$AF$5*(IF(ISNUMBER($AF12),$AF12,0)))+(IF(ISNUMBER($AL12),$AL12,0)))*(IF(U12="j",1,IF(U12="m",12,IF(U12="w",52,IF(U12="d",365,0)))))*T12)*L12</f>
        <v/>
      </c>
      <c r="AO12" s="286" t="n"/>
      <c r="AP12" s="642">
        <f>IFERROR(N(INDEX(Invoer!$AL$38:$AL$57,MATCH(6,Invoer!$BH$38:$BH$57,0))),0)</f>
        <v/>
      </c>
      <c r="AQ12" s="642">
        <f>IFERROR(N(INDEX(Invoer!$AK$38:$AK$57,MATCH(6,Invoer!$BH$38:$BH$57,0))),0)</f>
        <v/>
      </c>
      <c r="AR12" s="642">
        <f>IFERROR(N(INDEX(Invoer!$AP$38:$AP$57,MATCH(6,Invoer!$BH$38:$BH$57,0))),0)</f>
        <v/>
      </c>
      <c r="AT12" s="453">
        <f>AP12+AQ12+AR12</f>
        <v/>
      </c>
      <c r="AV12" s="420">
        <f>IFERROR(IF(INDEX(Invoer!$BE$38:$BE$57,MATCH(6,Invoer!$BH$38:$BH$57,0))="","",INDEX(Invoer!$BE$38:$BE$57,MATCH(6,Invoer!$BH$38:$BH$57,0))),"")</f>
        <v/>
      </c>
    </row>
    <row r="13" ht="9.949999999999999" customHeight="1" s="189">
      <c r="A13" s="640">
        <f>IFERROR(N(INDEX(Invoer!$B$38:$B$57,MATCH(7,Invoer!$BH$38:$BH$57,0))),0)</f>
        <v/>
      </c>
      <c r="B13" s="640">
        <f>IFERROR(N(INDEX(Invoer!$C$38:$C$57,MATCH(7,Invoer!$BH$38:$BH$57,0))),0)</f>
        <v/>
      </c>
      <c r="C13" s="640">
        <f>IFERROR(N(INDEX(Invoer!$D$38:$D$57,MATCH(7,Invoer!$BH$38:$BH$57,0))),0)</f>
        <v/>
      </c>
      <c r="D13" s="640">
        <f>IFERROR(N(INDEX(Invoer!$E$38:$E$57,MATCH(7,Invoer!$BH$38:$BH$57,0))),0)</f>
        <v/>
      </c>
      <c r="E13" s="640">
        <f>IFERROR(N(INDEX(Invoer!$F$38:$F$57,MATCH(7,Invoer!$BH$38:$BH$57,0))),0)</f>
        <v/>
      </c>
      <c r="F13" s="640">
        <f>IFERROR(N(INDEX(Invoer!$G$38:$G$57,MATCH(7,Invoer!$BH$38:$BH$57,0))),0)</f>
        <v/>
      </c>
      <c r="G13" s="640">
        <f>IFERROR(N(INDEX(Invoer!$H$38:$H$57,MATCH(7,Invoer!$BH$38:$BH$57,0))),0)</f>
        <v/>
      </c>
      <c r="H13" s="640">
        <f>IFERROR(N(INDEX(Invoer!$I$38:$I$57,MATCH(7,Invoer!$BH$38:$BH$57,0))),0)</f>
        <v/>
      </c>
      <c r="I13" s="640">
        <f>IFERROR(N(INDEX(Invoer!$J$38:$J$57,MATCH(7,Invoer!$BH$38:$BH$57,0))),0)</f>
        <v/>
      </c>
      <c r="J13" s="640">
        <f>IFERROR(N(INDEX(Invoer!$K$38:$K$57,MATCH(7,Invoer!$BH$38:$BH$57,0))),0)</f>
        <v/>
      </c>
      <c r="K13" s="414">
        <f>IFERROR(IF(INDEX(Invoer!$L$38:$L$57,MATCH(7,Invoer!$BH$38:$BH$57,0))="","",INDEX(Invoer!$L$38:$L$57,MATCH(7,Invoer!$BH$38:$BH$57,0))),"")</f>
        <v/>
      </c>
      <c r="L13" s="642">
        <f>IFERROR(N(INDEX(Invoer!$M$38:$M$57,MATCH(7,Invoer!$BH$38:$BH$57,0))),0)</f>
        <v/>
      </c>
      <c r="M13" s="419">
        <f>IFERROR(IF(INDEX(Invoer!$BQ$38:$BQ$57,MATCH(7,Invoer!$BH$38:$BH$57,0))="","",INDEX(Invoer!$BQ$38:$BQ$57,MATCH(7,Invoer!$BH$38:$BH$57,0))),"")</f>
        <v/>
      </c>
      <c r="N13" s="419">
        <f>IFERROR(IF(INDEX(Invoer!$BR$38:$BR$57,MATCH(7,Invoer!$BH$38:$BH$57,0))="","",INDEX(Invoer!$BR$38:$BR$57,MATCH(7,Invoer!$BH$38:$BH$57,0))),"")</f>
        <v/>
      </c>
      <c r="O13" s="450" t="n"/>
      <c r="P13" s="416">
        <f>IFERROR(IF(INDEX(Invoer!$Q$38:$Q$57,MATCH(7,Invoer!$BH$38:$BH$57,0))="","",INDEX(Invoer!$Q$38:$Q$57,MATCH(7,Invoer!$BH$38:$BH$57,0))),"")</f>
        <v/>
      </c>
      <c r="Q13" s="450" t="n"/>
      <c r="R13" s="419">
        <f>IFERROR(IF(INDEX(Invoer!$R$38:$R$57,MATCH(7,Invoer!$BH$38:$BH$57,0))="","",INDEX(Invoer!$R$38:$R$57,MATCH(7,Invoer!$BH$38:$BH$57,0))),"")</f>
        <v/>
      </c>
      <c r="S13" s="450" t="n"/>
      <c r="T13" s="642">
        <f>IFERROR(N(INDEX(Invoer!$S$38:$S$57,MATCH(7,Invoer!$BH$38:$BH$57,0))),0)</f>
        <v/>
      </c>
      <c r="U13" s="419">
        <f>IFERROR(IF(INDEX(Invoer!$T$38:$T$57,MATCH(7,Invoer!$BH$38:$BH$57,0))="","",INDEX(Invoer!$T$38:$T$57,MATCH(7,Invoer!$BH$38:$BH$57,0))),"")</f>
        <v/>
      </c>
      <c r="W13" s="419">
        <f>IFERROR(IF(INDEX(Invoer!$U$38:$U$57,MATCH(7,Invoer!$BH$38:$BH$57,0))="","",INDEX(Invoer!$U$38:$U$57,MATCH(7,Invoer!$BH$38:$BH$57,0))),"")</f>
        <v/>
      </c>
      <c r="X13" s="419">
        <f>IFERROR(IF(INDEX(Invoer!$V$38:$V$57,MATCH(7,Invoer!$BH$38:$BH$57,0))="","",INDEX(Invoer!$V$38:$V$57,MATCH(7,Invoer!$BH$38:$BH$57,0))),"")</f>
        <v/>
      </c>
      <c r="Y13" s="419">
        <f>IFERROR(IF(INDEX(Invoer!$W$38:$W$57,MATCH(7,Invoer!$BH$38:$BH$57,0))="","",INDEX(Invoer!$W$38:$W$57,MATCH(7,Invoer!$BH$38:$BH$57,0))),"")</f>
        <v/>
      </c>
      <c r="AA13" s="642">
        <f>IFERROR(N(INDEX(Invoer!$X$38:$X$57,MATCH(7,Invoer!$BH$38:$BH$57,0))),0)</f>
        <v/>
      </c>
      <c r="AB13" s="642">
        <f>IFERROR(N(INDEX(Invoer!$Y$38:$Y$57,MATCH(7,Invoer!$BH$38:$BH$57,0))),0)</f>
        <v/>
      </c>
      <c r="AC13" s="642">
        <f>IFERROR(N(INDEX(Invoer!$Z$38:$Z$57,MATCH(7,Invoer!$BH$38:$BH$57,0))),0)</f>
        <v/>
      </c>
      <c r="AD13" s="642">
        <f>IFERROR(N(INDEX(Invoer!$AA$38:$AA$57,MATCH(7,Invoer!$BH$38:$BH$57,0))),0)</f>
        <v/>
      </c>
      <c r="AE13" s="642">
        <f>IFERROR(N(INDEX(Invoer!$AB$38:$AB$57,MATCH(7,Invoer!$BH$38:$BH$57,0))),0)</f>
        <v/>
      </c>
      <c r="AF13" s="642">
        <f>IFERROR(N(INDEX(Invoer!$AC$38:$AC$57,MATCH(7,Invoer!$BH$38:$BH$57,0))),0)</f>
        <v/>
      </c>
      <c r="AH13" s="642">
        <f>IFERROR(N(INDEX(Invoer!$BC$38:$BC$57,MATCH(7,Invoer!$BH$38:$BH$57,0))),0)</f>
        <v/>
      </c>
      <c r="AI13" s="450" t="n"/>
      <c r="AJ13" s="642">
        <f>IFERROR(N(INDEX(Invoer!$BD$38:$BD$57,MATCH(7,Invoer!$BH$38:$BH$57,0))),0)</f>
        <v/>
      </c>
      <c r="AK13" s="450" t="n"/>
      <c r="AL13" s="642">
        <f>IFERROR(N(INDEX(Invoer!$AD$38:$AD$57,MATCH(7,Invoer!$BH$38:$BH$57,0))),0)</f>
        <v/>
      </c>
      <c r="AN13" s="452">
        <f>((($AA$5*(IF(ISNUMBER($AA13),$AA13,0))+$AB$5*(IF(ISNUMBER($AB13),$AB13,0))+$AC$5*(IF(ISNUMBER($AC13),$AC13,0))+$AD$5*(IF(ISNUMBER($AD13),$AD13,0))+$AE$5*(IF(ISNUMBER($AE13),$AE13,0))+$AF$5*(IF(ISNUMBER($AF13),$AF13,0)))+(IF(ISNUMBER($AL13),$AL13,0)))*(IF(U13="j",1,IF(U13="m",12,IF(U13="w",52,IF(U13="d",365,0)))))*T13)*L13</f>
        <v/>
      </c>
      <c r="AO13" s="286" t="n"/>
      <c r="AP13" s="642">
        <f>IFERROR(N(INDEX(Invoer!$AL$38:$AL$57,MATCH(7,Invoer!$BH$38:$BH$57,0))),0)</f>
        <v/>
      </c>
      <c r="AQ13" s="642">
        <f>IFERROR(N(INDEX(Invoer!$AK$38:$AK$57,MATCH(7,Invoer!$BH$38:$BH$57,0))),0)</f>
        <v/>
      </c>
      <c r="AR13" s="642">
        <f>IFERROR(N(INDEX(Invoer!$AP$38:$AP$57,MATCH(7,Invoer!$BH$38:$BH$57,0))),0)</f>
        <v/>
      </c>
      <c r="AT13" s="453">
        <f>AP13+AQ13+AR13</f>
        <v/>
      </c>
      <c r="AV13" s="420">
        <f>IFERROR(IF(INDEX(Invoer!$BE$38:$BE$57,MATCH(7,Invoer!$BH$38:$BH$57,0))="","",INDEX(Invoer!$BE$38:$BE$57,MATCH(7,Invoer!$BH$38:$BH$57,0))),"")</f>
        <v/>
      </c>
    </row>
    <row r="14" ht="9.949999999999999" customHeight="1" s="189">
      <c r="A14" s="640">
        <f>IFERROR(N(INDEX(Invoer!$B$38:$B$57,MATCH(8,Invoer!$BH$38:$BH$57,0))),0)</f>
        <v/>
      </c>
      <c r="B14" s="640">
        <f>IFERROR(N(INDEX(Invoer!$C$38:$C$57,MATCH(8,Invoer!$BH$38:$BH$57,0))),0)</f>
        <v/>
      </c>
      <c r="C14" s="640">
        <f>IFERROR(N(INDEX(Invoer!$D$38:$D$57,MATCH(8,Invoer!$BH$38:$BH$57,0))),0)</f>
        <v/>
      </c>
      <c r="D14" s="640">
        <f>IFERROR(N(INDEX(Invoer!$E$38:$E$57,MATCH(8,Invoer!$BH$38:$BH$57,0))),0)</f>
        <v/>
      </c>
      <c r="E14" s="640">
        <f>IFERROR(N(INDEX(Invoer!$F$38:$F$57,MATCH(8,Invoer!$BH$38:$BH$57,0))),0)</f>
        <v/>
      </c>
      <c r="F14" s="640">
        <f>IFERROR(N(INDEX(Invoer!$G$38:$G$57,MATCH(8,Invoer!$BH$38:$BH$57,0))),0)</f>
        <v/>
      </c>
      <c r="G14" s="640">
        <f>IFERROR(N(INDEX(Invoer!$H$38:$H$57,MATCH(8,Invoer!$BH$38:$BH$57,0))),0)</f>
        <v/>
      </c>
      <c r="H14" s="640">
        <f>IFERROR(N(INDEX(Invoer!$I$38:$I$57,MATCH(8,Invoer!$BH$38:$BH$57,0))),0)</f>
        <v/>
      </c>
      <c r="I14" s="640">
        <f>IFERROR(N(INDEX(Invoer!$J$38:$J$57,MATCH(8,Invoer!$BH$38:$BH$57,0))),0)</f>
        <v/>
      </c>
      <c r="J14" s="640">
        <f>IFERROR(N(INDEX(Invoer!$K$38:$K$57,MATCH(8,Invoer!$BH$38:$BH$57,0))),0)</f>
        <v/>
      </c>
      <c r="K14" s="414">
        <f>IFERROR(IF(INDEX(Invoer!$L$38:$L$57,MATCH(8,Invoer!$BH$38:$BH$57,0))="","",INDEX(Invoer!$L$38:$L$57,MATCH(8,Invoer!$BH$38:$BH$57,0))),"")</f>
        <v/>
      </c>
      <c r="L14" s="642">
        <f>IFERROR(N(INDEX(Invoer!$M$38:$M$57,MATCH(8,Invoer!$BH$38:$BH$57,0))),0)</f>
        <v/>
      </c>
      <c r="M14" s="419">
        <f>IFERROR(IF(INDEX(Invoer!$BQ$38:$BQ$57,MATCH(8,Invoer!$BH$38:$BH$57,0))="","",INDEX(Invoer!$BQ$38:$BQ$57,MATCH(8,Invoer!$BH$38:$BH$57,0))),"")</f>
        <v/>
      </c>
      <c r="N14" s="419">
        <f>IFERROR(IF(INDEX(Invoer!$BR$38:$BR$57,MATCH(8,Invoer!$BH$38:$BH$57,0))="","",INDEX(Invoer!$BR$38:$BR$57,MATCH(8,Invoer!$BH$38:$BH$57,0))),"")</f>
        <v/>
      </c>
      <c r="O14" s="450" t="n"/>
      <c r="P14" s="416">
        <f>IFERROR(IF(INDEX(Invoer!$Q$38:$Q$57,MATCH(8,Invoer!$BH$38:$BH$57,0))="","",INDEX(Invoer!$Q$38:$Q$57,MATCH(8,Invoer!$BH$38:$BH$57,0))),"")</f>
        <v/>
      </c>
      <c r="Q14" s="450" t="n"/>
      <c r="R14" s="419">
        <f>IFERROR(IF(INDEX(Invoer!$R$38:$R$57,MATCH(8,Invoer!$BH$38:$BH$57,0))="","",INDEX(Invoer!$R$38:$R$57,MATCH(8,Invoer!$BH$38:$BH$57,0))),"")</f>
        <v/>
      </c>
      <c r="S14" s="450" t="n"/>
      <c r="T14" s="642">
        <f>IFERROR(N(INDEX(Invoer!$S$38:$S$57,MATCH(8,Invoer!$BH$38:$BH$57,0))),0)</f>
        <v/>
      </c>
      <c r="U14" s="419">
        <f>IFERROR(IF(INDEX(Invoer!$T$38:$T$57,MATCH(8,Invoer!$BH$38:$BH$57,0))="","",INDEX(Invoer!$T$38:$T$57,MATCH(8,Invoer!$BH$38:$BH$57,0))),"")</f>
        <v/>
      </c>
      <c r="W14" s="419">
        <f>IFERROR(IF(INDEX(Invoer!$U$38:$U$57,MATCH(8,Invoer!$BH$38:$BH$57,0))="","",INDEX(Invoer!$U$38:$U$57,MATCH(8,Invoer!$BH$38:$BH$57,0))),"")</f>
        <v/>
      </c>
      <c r="X14" s="419">
        <f>IFERROR(IF(INDEX(Invoer!$V$38:$V$57,MATCH(8,Invoer!$BH$38:$BH$57,0))="","",INDEX(Invoer!$V$38:$V$57,MATCH(8,Invoer!$BH$38:$BH$57,0))),"")</f>
        <v/>
      </c>
      <c r="Y14" s="419">
        <f>IFERROR(IF(INDEX(Invoer!$W$38:$W$57,MATCH(8,Invoer!$BH$38:$BH$57,0))="","",INDEX(Invoer!$W$38:$W$57,MATCH(8,Invoer!$BH$38:$BH$57,0))),"")</f>
        <v/>
      </c>
      <c r="AA14" s="642">
        <f>IFERROR(N(INDEX(Invoer!$X$38:$X$57,MATCH(8,Invoer!$BH$38:$BH$57,0))),0)</f>
        <v/>
      </c>
      <c r="AB14" s="642">
        <f>IFERROR(N(INDEX(Invoer!$Y$38:$Y$57,MATCH(8,Invoer!$BH$38:$BH$57,0))),0)</f>
        <v/>
      </c>
      <c r="AC14" s="642">
        <f>IFERROR(N(INDEX(Invoer!$Z$38:$Z$57,MATCH(8,Invoer!$BH$38:$BH$57,0))),0)</f>
        <v/>
      </c>
      <c r="AD14" s="642">
        <f>IFERROR(N(INDEX(Invoer!$AA$38:$AA$57,MATCH(8,Invoer!$BH$38:$BH$57,0))),0)</f>
        <v/>
      </c>
      <c r="AE14" s="642">
        <f>IFERROR(N(INDEX(Invoer!$AB$38:$AB$57,MATCH(8,Invoer!$BH$38:$BH$57,0))),0)</f>
        <v/>
      </c>
      <c r="AF14" s="642">
        <f>IFERROR(N(INDEX(Invoer!$AC$38:$AC$57,MATCH(8,Invoer!$BH$38:$BH$57,0))),0)</f>
        <v/>
      </c>
      <c r="AH14" s="642">
        <f>IFERROR(N(INDEX(Invoer!$BC$38:$BC$57,MATCH(8,Invoer!$BH$38:$BH$57,0))),0)</f>
        <v/>
      </c>
      <c r="AI14" s="450" t="n"/>
      <c r="AJ14" s="642">
        <f>IFERROR(N(INDEX(Invoer!$BD$38:$BD$57,MATCH(8,Invoer!$BH$38:$BH$57,0))),0)</f>
        <v/>
      </c>
      <c r="AK14" s="450" t="n"/>
      <c r="AL14" s="642">
        <f>IFERROR(N(INDEX(Invoer!$AD$38:$AD$57,MATCH(8,Invoer!$BH$38:$BH$57,0))),0)</f>
        <v/>
      </c>
      <c r="AN14" s="452">
        <f>((($AA$5*(IF(ISNUMBER($AA14),$AA14,0))+$AB$5*(IF(ISNUMBER($AB14),$AB14,0))+$AC$5*(IF(ISNUMBER($AC14),$AC14,0))+$AD$5*(IF(ISNUMBER($AD14),$AD14,0))+$AE$5*(IF(ISNUMBER($AE14),$AE14,0))+$AF$5*(IF(ISNUMBER($AF14),$AF14,0)))+(IF(ISNUMBER($AL14),$AL14,0)))*(IF(U14="j",1,IF(U14="m",12,IF(U14="w",52,IF(U14="d",365,0)))))*T14)*L14</f>
        <v/>
      </c>
      <c r="AO14" s="286" t="n"/>
      <c r="AP14" s="642">
        <f>IFERROR(N(INDEX(Invoer!$AL$38:$AL$57,MATCH(8,Invoer!$BH$38:$BH$57,0))),0)</f>
        <v/>
      </c>
      <c r="AQ14" s="642">
        <f>IFERROR(N(INDEX(Invoer!$AK$38:$AK$57,MATCH(8,Invoer!$BH$38:$BH$57,0))),0)</f>
        <v/>
      </c>
      <c r="AR14" s="642">
        <f>IFERROR(N(INDEX(Invoer!$AP$38:$AP$57,MATCH(8,Invoer!$BH$38:$BH$57,0))),0)</f>
        <v/>
      </c>
      <c r="AT14" s="453">
        <f>AP14+AQ14+AR14</f>
        <v/>
      </c>
      <c r="AV14" s="420">
        <f>IFERROR(IF(INDEX(Invoer!$BE$38:$BE$57,MATCH(8,Invoer!$BH$38:$BH$57,0))="","",INDEX(Invoer!$BE$38:$BE$57,MATCH(8,Invoer!$BH$38:$BH$57,0))),"")</f>
        <v/>
      </c>
    </row>
    <row r="15" ht="9.949999999999999" customHeight="1" s="189">
      <c r="A15" s="640">
        <f>IFERROR(N(INDEX(Invoer!$B$38:$B$57,MATCH(9,Invoer!$BH$38:$BH$57,0))),0)</f>
        <v/>
      </c>
      <c r="B15" s="640">
        <f>IFERROR(N(INDEX(Invoer!$C$38:$C$57,MATCH(9,Invoer!$BH$38:$BH$57,0))),0)</f>
        <v/>
      </c>
      <c r="C15" s="640">
        <f>IFERROR(N(INDEX(Invoer!$D$38:$D$57,MATCH(9,Invoer!$BH$38:$BH$57,0))),0)</f>
        <v/>
      </c>
      <c r="D15" s="640">
        <f>IFERROR(N(INDEX(Invoer!$E$38:$E$57,MATCH(9,Invoer!$BH$38:$BH$57,0))),0)</f>
        <v/>
      </c>
      <c r="E15" s="640">
        <f>IFERROR(N(INDEX(Invoer!$F$38:$F$57,MATCH(9,Invoer!$BH$38:$BH$57,0))),0)</f>
        <v/>
      </c>
      <c r="F15" s="640">
        <f>IFERROR(N(INDEX(Invoer!$G$38:$G$57,MATCH(9,Invoer!$BH$38:$BH$57,0))),0)</f>
        <v/>
      </c>
      <c r="G15" s="640">
        <f>IFERROR(N(INDEX(Invoer!$H$38:$H$57,MATCH(9,Invoer!$BH$38:$BH$57,0))),0)</f>
        <v/>
      </c>
      <c r="H15" s="640">
        <f>IFERROR(N(INDEX(Invoer!$I$38:$I$57,MATCH(9,Invoer!$BH$38:$BH$57,0))),0)</f>
        <v/>
      </c>
      <c r="I15" s="640">
        <f>IFERROR(N(INDEX(Invoer!$J$38:$J$57,MATCH(9,Invoer!$BH$38:$BH$57,0))),0)</f>
        <v/>
      </c>
      <c r="J15" s="640">
        <f>IFERROR(N(INDEX(Invoer!$K$38:$K$57,MATCH(9,Invoer!$BH$38:$BH$57,0))),0)</f>
        <v/>
      </c>
      <c r="K15" s="414">
        <f>IFERROR(IF(INDEX(Invoer!$L$38:$L$57,MATCH(9,Invoer!$BH$38:$BH$57,0))="","",INDEX(Invoer!$L$38:$L$57,MATCH(9,Invoer!$BH$38:$BH$57,0))),"")</f>
        <v/>
      </c>
      <c r="L15" s="642">
        <f>IFERROR(N(INDEX(Invoer!$M$38:$M$57,MATCH(9,Invoer!$BH$38:$BH$57,0))),0)</f>
        <v/>
      </c>
      <c r="M15" s="419">
        <f>IFERROR(IF(INDEX(Invoer!$BQ$38:$BQ$57,MATCH(9,Invoer!$BH$38:$BH$57,0))="","",INDEX(Invoer!$BQ$38:$BQ$57,MATCH(9,Invoer!$BH$38:$BH$57,0))),"")</f>
        <v/>
      </c>
      <c r="N15" s="419">
        <f>IFERROR(IF(INDEX(Invoer!$BR$38:$BR$57,MATCH(9,Invoer!$BH$38:$BH$57,0))="","",INDEX(Invoer!$BR$38:$BR$57,MATCH(9,Invoer!$BH$38:$BH$57,0))),"")</f>
        <v/>
      </c>
      <c r="O15" s="450" t="n"/>
      <c r="P15" s="416">
        <f>IFERROR(IF(INDEX(Invoer!$Q$38:$Q$57,MATCH(9,Invoer!$BH$38:$BH$57,0))="","",INDEX(Invoer!$Q$38:$Q$57,MATCH(9,Invoer!$BH$38:$BH$57,0))),"")</f>
        <v/>
      </c>
      <c r="Q15" s="450" t="n"/>
      <c r="R15" s="419">
        <f>IFERROR(IF(INDEX(Invoer!$R$38:$R$57,MATCH(9,Invoer!$BH$38:$BH$57,0))="","",INDEX(Invoer!$R$38:$R$57,MATCH(9,Invoer!$BH$38:$BH$57,0))),"")</f>
        <v/>
      </c>
      <c r="S15" s="450" t="n"/>
      <c r="T15" s="642">
        <f>IFERROR(N(INDEX(Invoer!$S$38:$S$57,MATCH(9,Invoer!$BH$38:$BH$57,0))),0)</f>
        <v/>
      </c>
      <c r="U15" s="419">
        <f>IFERROR(IF(INDEX(Invoer!$T$38:$T$57,MATCH(9,Invoer!$BH$38:$BH$57,0))="","",INDEX(Invoer!$T$38:$T$57,MATCH(9,Invoer!$BH$38:$BH$57,0))),"")</f>
        <v/>
      </c>
      <c r="W15" s="419">
        <f>IFERROR(IF(INDEX(Invoer!$U$38:$U$57,MATCH(9,Invoer!$BH$38:$BH$57,0))="","",INDEX(Invoer!$U$38:$U$57,MATCH(9,Invoer!$BH$38:$BH$57,0))),"")</f>
        <v/>
      </c>
      <c r="X15" s="419">
        <f>IFERROR(IF(INDEX(Invoer!$V$38:$V$57,MATCH(9,Invoer!$BH$38:$BH$57,0))="","",INDEX(Invoer!$V$38:$V$57,MATCH(9,Invoer!$BH$38:$BH$57,0))),"")</f>
        <v/>
      </c>
      <c r="Y15" s="419">
        <f>IFERROR(IF(INDEX(Invoer!$W$38:$W$57,MATCH(9,Invoer!$BH$38:$BH$57,0))="","",INDEX(Invoer!$W$38:$W$57,MATCH(9,Invoer!$BH$38:$BH$57,0))),"")</f>
        <v/>
      </c>
      <c r="AA15" s="642">
        <f>IFERROR(N(INDEX(Invoer!$X$38:$X$57,MATCH(9,Invoer!$BH$38:$BH$57,0))),0)</f>
        <v/>
      </c>
      <c r="AB15" s="642">
        <f>IFERROR(N(INDEX(Invoer!$Y$38:$Y$57,MATCH(9,Invoer!$BH$38:$BH$57,0))),0)</f>
        <v/>
      </c>
      <c r="AC15" s="642">
        <f>IFERROR(N(INDEX(Invoer!$Z$38:$Z$57,MATCH(9,Invoer!$BH$38:$BH$57,0))),0)</f>
        <v/>
      </c>
      <c r="AD15" s="642">
        <f>IFERROR(N(INDEX(Invoer!$AA$38:$AA$57,MATCH(9,Invoer!$BH$38:$BH$57,0))),0)</f>
        <v/>
      </c>
      <c r="AE15" s="642">
        <f>IFERROR(N(INDEX(Invoer!$AB$38:$AB$57,MATCH(9,Invoer!$BH$38:$BH$57,0))),0)</f>
        <v/>
      </c>
      <c r="AF15" s="642">
        <f>IFERROR(N(INDEX(Invoer!$AC$38:$AC$57,MATCH(9,Invoer!$BH$38:$BH$57,0))),0)</f>
        <v/>
      </c>
      <c r="AH15" s="642">
        <f>IFERROR(N(INDEX(Invoer!$BC$38:$BC$57,MATCH(9,Invoer!$BH$38:$BH$57,0))),0)</f>
        <v/>
      </c>
      <c r="AI15" s="450" t="n"/>
      <c r="AJ15" s="642">
        <f>IFERROR(N(INDEX(Invoer!$BD$38:$BD$57,MATCH(9,Invoer!$BH$38:$BH$57,0))),0)</f>
        <v/>
      </c>
      <c r="AK15" s="450" t="n"/>
      <c r="AL15" s="642">
        <f>IFERROR(N(INDEX(Invoer!$AD$38:$AD$57,MATCH(9,Invoer!$BH$38:$BH$57,0))),0)</f>
        <v/>
      </c>
      <c r="AN15" s="452">
        <f>((($AA$5*(IF(ISNUMBER($AA15),$AA15,0))+$AB$5*(IF(ISNUMBER($AB15),$AB15,0))+$AC$5*(IF(ISNUMBER($AC15),$AC15,0))+$AD$5*(IF(ISNUMBER($AD15),$AD15,0))+$AE$5*(IF(ISNUMBER($AE15),$AE15,0))+$AF$5*(IF(ISNUMBER($AF15),$AF15,0)))+(IF(ISNUMBER($AL15),$AL15,0)))*(IF(U15="j",1,IF(U15="m",12,IF(U15="w",52,IF(U15="d",365,0)))))*T15)*L15</f>
        <v/>
      </c>
      <c r="AO15" s="286" t="n"/>
      <c r="AP15" s="642">
        <f>IFERROR(N(INDEX(Invoer!$AL$38:$AL$57,MATCH(9,Invoer!$BH$38:$BH$57,0))),0)</f>
        <v/>
      </c>
      <c r="AQ15" s="642">
        <f>IFERROR(N(INDEX(Invoer!$AK$38:$AK$57,MATCH(9,Invoer!$BH$38:$BH$57,0))),0)</f>
        <v/>
      </c>
      <c r="AR15" s="642">
        <f>IFERROR(N(INDEX(Invoer!$AP$38:$AP$57,MATCH(9,Invoer!$BH$38:$BH$57,0))),0)</f>
        <v/>
      </c>
      <c r="AT15" s="453">
        <f>AP15+AQ15+AR15</f>
        <v/>
      </c>
      <c r="AV15" s="420">
        <f>IFERROR(IF(INDEX(Invoer!$BE$38:$BE$57,MATCH(9,Invoer!$BH$38:$BH$57,0))="","",INDEX(Invoer!$BE$38:$BE$57,MATCH(9,Invoer!$BH$38:$BH$57,0))),"")</f>
        <v/>
      </c>
    </row>
    <row r="16">
      <c r="O16" s="443" t="n"/>
      <c r="P16" s="443" t="n"/>
      <c r="Q16" s="443" t="n"/>
      <c r="R16" s="450" t="n"/>
      <c r="T16" s="443" t="n"/>
      <c r="U16" s="443" t="n"/>
      <c r="V16" s="443" t="n"/>
      <c r="W16" s="450" t="n"/>
      <c r="Z16" s="443" t="n"/>
      <c r="AD16" s="450" t="n"/>
      <c r="AF16" s="450" t="n"/>
      <c r="AG16" s="443" t="n"/>
      <c r="AI16" s="443" t="n"/>
      <c r="AK16" s="450" t="n"/>
      <c r="AL16" s="438" t="n"/>
      <c r="AN16" s="398" t="n"/>
      <c r="AO16" s="286" t="n"/>
      <c r="AP16" s="450" t="n"/>
      <c r="AR16" s="450" t="n"/>
      <c r="AT16" s="450" t="n"/>
    </row>
    <row r="17" ht="12.75" customHeight="1" s="189">
      <c r="A17" s="454" t="n"/>
      <c r="B17" s="455" t="n"/>
      <c r="C17" s="455" t="n"/>
      <c r="D17" s="455" t="n"/>
      <c r="E17" s="455" t="n"/>
      <c r="F17" s="455" t="n"/>
      <c r="G17" s="455" t="n"/>
      <c r="H17" s="455" t="n"/>
      <c r="I17" s="455" t="n"/>
      <c r="J17" s="455" t="n"/>
      <c r="K17" s="455" t="n"/>
      <c r="L17" s="455" t="n"/>
      <c r="M17" s="455" t="n"/>
      <c r="N17" s="455" t="n"/>
      <c r="O17" s="455" t="n"/>
      <c r="P17" s="455" t="n"/>
      <c r="Q17" s="455" t="n"/>
      <c r="R17" s="456" t="n"/>
      <c r="S17" s="455" t="n"/>
      <c r="T17" s="455" t="n"/>
      <c r="U17" s="455" t="n"/>
      <c r="V17" s="457" t="n"/>
      <c r="W17" s="455" t="n"/>
      <c r="X17" s="455" t="n"/>
      <c r="Y17" s="455" t="n"/>
      <c r="Z17" s="425" t="n"/>
      <c r="AA17" s="425" t="n"/>
      <c r="AB17" s="425" t="n"/>
      <c r="AC17" s="425" t="n"/>
      <c r="AD17" s="425" t="n"/>
      <c r="AE17" s="425" t="n"/>
      <c r="AF17" s="425" t="n"/>
      <c r="AG17" s="455" t="n"/>
      <c r="AH17" s="426" t="n"/>
      <c r="AI17" s="455" t="n"/>
      <c r="AJ17" s="426" t="n"/>
      <c r="AK17" s="426" t="n"/>
      <c r="AL17" s="458" t="n"/>
      <c r="AM17" s="427" t="inlineStr">
        <is>
          <t>€</t>
        </is>
      </c>
      <c r="AN17" s="428">
        <f>SUM(AN7:AN15)</f>
        <v/>
      </c>
      <c r="AO17" s="286" t="n"/>
      <c r="AP17" s="450" t="n"/>
      <c r="AR17" s="450" t="n"/>
      <c r="AT17" s="450" t="n"/>
      <c r="AV17" s="429">
        <f>TODAY()</f>
        <v/>
      </c>
    </row>
    <row r="18">
      <c r="O18" s="443" t="n"/>
      <c r="P18" s="443" t="n"/>
      <c r="Q18" s="443" t="n"/>
      <c r="R18" s="450" t="n"/>
      <c r="T18" s="443" t="n"/>
      <c r="U18" s="443" t="n"/>
      <c r="V18" s="443" t="n"/>
      <c r="W18" s="450" t="n"/>
      <c r="Z18" s="443" t="n"/>
      <c r="AD18" s="450" t="n"/>
      <c r="AF18" s="450" t="n"/>
      <c r="AG18" s="443" t="n"/>
      <c r="AI18" s="443" t="n"/>
      <c r="AK18" s="450" t="n"/>
      <c r="AL18" s="438" t="n"/>
      <c r="AN18" s="398" t="n"/>
      <c r="AO18" s="286" t="n"/>
      <c r="AP18" s="450" t="n"/>
      <c r="AR18" s="450" t="n"/>
      <c r="AT18" s="450" t="n"/>
    </row>
    <row r="19">
      <c r="O19" s="443" t="n"/>
      <c r="P19" s="443" t="n"/>
      <c r="Q19" s="443" t="n"/>
      <c r="R19" s="450" t="n"/>
      <c r="T19" s="443" t="n"/>
      <c r="U19" s="443" t="n"/>
      <c r="V19" s="443" t="n"/>
      <c r="W19" s="450" t="n"/>
      <c r="Z19" s="443" t="n"/>
      <c r="AD19" s="450" t="n"/>
      <c r="AF19" s="450" t="n"/>
      <c r="AG19" s="443" t="n"/>
      <c r="AI19" s="443" t="n"/>
      <c r="AK19" s="450" t="n"/>
      <c r="AL19" s="438" t="n"/>
      <c r="AN19" s="398" t="n"/>
      <c r="AO19" s="286" t="n"/>
      <c r="AP19" s="450" t="n"/>
      <c r="AR19" s="450" t="n"/>
      <c r="AT19" s="450" t="n"/>
    </row>
    <row r="20">
      <c r="O20" s="443" t="n"/>
      <c r="P20" s="443" t="n"/>
      <c r="Q20" s="443" t="n"/>
      <c r="R20" s="450" t="n"/>
      <c r="T20" s="443" t="n"/>
      <c r="U20" s="443" t="n"/>
      <c r="V20" s="443" t="n"/>
      <c r="W20" s="450" t="n"/>
      <c r="Z20" s="443" t="n"/>
      <c r="AD20" s="450" t="n"/>
      <c r="AF20" s="450" t="n"/>
      <c r="AG20" s="443" t="n"/>
      <c r="AI20" s="443" t="n"/>
      <c r="AK20" s="450" t="n"/>
      <c r="AL20" s="438" t="n"/>
      <c r="AN20" s="398" t="n"/>
      <c r="AO20" s="286" t="n"/>
      <c r="AP20" s="450" t="n"/>
      <c r="AR20" s="450" t="n"/>
      <c r="AT20" s="450" t="n"/>
    </row>
    <row r="21">
      <c r="O21" s="443" t="n"/>
      <c r="P21" s="443" t="n"/>
      <c r="Q21" s="443" t="n"/>
      <c r="R21" s="450" t="n"/>
      <c r="T21" s="443" t="n"/>
      <c r="U21" s="443" t="n"/>
      <c r="V21" s="443" t="n"/>
      <c r="W21" s="450" t="n"/>
      <c r="Z21" s="443" t="n"/>
      <c r="AD21" s="450" t="n"/>
      <c r="AF21" s="450" t="n"/>
      <c r="AG21" s="443" t="n"/>
      <c r="AI21" s="443" t="n"/>
      <c r="AK21" s="450" t="n"/>
      <c r="AL21" s="438" t="n"/>
      <c r="AN21" s="398" t="n"/>
      <c r="AO21" s="286" t="n"/>
      <c r="AP21" s="450" t="n"/>
      <c r="AR21" s="450" t="n"/>
      <c r="AT21" s="450" t="n"/>
    </row>
    <row r="22">
      <c r="O22" s="443" t="n"/>
      <c r="P22" s="443" t="n"/>
      <c r="Q22" s="443" t="n"/>
      <c r="R22" s="450" t="n"/>
      <c r="T22" s="443" t="n"/>
      <c r="U22" s="443" t="n"/>
      <c r="V22" s="443" t="n"/>
      <c r="W22" s="450" t="n"/>
      <c r="Z22" s="443" t="n"/>
      <c r="AD22" s="450" t="n"/>
      <c r="AF22" s="450" t="n"/>
      <c r="AG22" s="443" t="n"/>
      <c r="AI22" s="443" t="n"/>
      <c r="AK22" s="450" t="n"/>
      <c r="AL22" s="438" t="n"/>
      <c r="AN22" s="398" t="n"/>
      <c r="AO22" s="286" t="n"/>
      <c r="AP22" s="450" t="n"/>
      <c r="AR22" s="450" t="n"/>
      <c r="AT22" s="450" t="n"/>
    </row>
    <row r="23">
      <c r="O23" s="443" t="n"/>
      <c r="P23" s="443" t="n"/>
      <c r="Q23" s="443" t="n"/>
      <c r="R23" s="450" t="n"/>
      <c r="T23" s="443" t="n"/>
      <c r="U23" s="443" t="n"/>
      <c r="V23" s="443" t="n"/>
      <c r="W23" s="450" t="n"/>
      <c r="Z23" s="443" t="n"/>
      <c r="AD23" s="450" t="n"/>
      <c r="AF23" s="450" t="n"/>
      <c r="AG23" s="443" t="n"/>
      <c r="AI23" s="443" t="n"/>
      <c r="AK23" s="450" t="n"/>
      <c r="AL23" s="438" t="n"/>
      <c r="AN23" s="398" t="n"/>
      <c r="AO23" s="286" t="n"/>
      <c r="AP23" s="450" t="n"/>
      <c r="AR23" s="450" t="n"/>
      <c r="AT23" s="450" t="n"/>
    </row>
    <row r="24">
      <c r="O24" s="443" t="n"/>
      <c r="P24" s="443" t="n"/>
      <c r="Q24" s="443" t="n"/>
      <c r="R24" s="450" t="n"/>
      <c r="T24" s="443" t="n"/>
      <c r="U24" s="443" t="n"/>
      <c r="V24" s="443" t="n"/>
      <c r="W24" s="450" t="n"/>
      <c r="Z24" s="443" t="n"/>
      <c r="AD24" s="450" t="n"/>
      <c r="AF24" s="450" t="n"/>
      <c r="AG24" s="443" t="n"/>
      <c r="AI24" s="443" t="n"/>
      <c r="AK24" s="450" t="n"/>
      <c r="AL24" s="438" t="n"/>
      <c r="AN24" s="398" t="n"/>
      <c r="AO24" s="286" t="n"/>
      <c r="AP24" s="450" t="n"/>
      <c r="AR24" s="450" t="n"/>
      <c r="AT24" s="450" t="n"/>
    </row>
    <row r="25">
      <c r="O25" s="443" t="n"/>
      <c r="P25" s="443" t="n"/>
      <c r="Q25" s="443" t="n"/>
      <c r="R25" s="450" t="n"/>
      <c r="T25" s="443" t="n"/>
      <c r="U25" s="443" t="n"/>
      <c r="V25" s="443" t="n"/>
      <c r="W25" s="450" t="n"/>
      <c r="Z25" s="443" t="n"/>
      <c r="AD25" s="450" t="n"/>
      <c r="AF25" s="450" t="n"/>
      <c r="AG25" s="443" t="n"/>
      <c r="AI25" s="443" t="n"/>
      <c r="AK25" s="450" t="n"/>
      <c r="AL25" s="438" t="n"/>
      <c r="AN25" s="398" t="n"/>
      <c r="AO25" s="286" t="n"/>
      <c r="AP25" s="450" t="n"/>
      <c r="AR25" s="450" t="n"/>
      <c r="AT25" s="450" t="n"/>
    </row>
    <row r="26">
      <c r="O26" s="443" t="n"/>
      <c r="P26" s="443" t="n"/>
      <c r="Q26" s="443" t="n"/>
      <c r="R26" s="450" t="n"/>
      <c r="T26" s="443" t="n"/>
      <c r="U26" s="443" t="n"/>
      <c r="V26" s="443" t="n"/>
      <c r="W26" s="450" t="n"/>
      <c r="Z26" s="443" t="n"/>
      <c r="AD26" s="450" t="n"/>
      <c r="AF26" s="450" t="n"/>
      <c r="AG26" s="443" t="n"/>
      <c r="AI26" s="443" t="n"/>
      <c r="AK26" s="450" t="n"/>
      <c r="AL26" s="438" t="n"/>
      <c r="AN26" s="398" t="n"/>
      <c r="AO26" s="286" t="n"/>
      <c r="AP26" s="450" t="n"/>
      <c r="AR26" s="450" t="n"/>
      <c r="AT26" s="450" t="n"/>
    </row>
    <row r="27">
      <c r="O27" s="443" t="n"/>
      <c r="P27" s="443" t="n"/>
      <c r="Q27" s="443" t="n"/>
      <c r="R27" s="450" t="n"/>
      <c r="T27" s="443" t="n"/>
      <c r="U27" s="443" t="n"/>
      <c r="V27" s="443" t="n"/>
      <c r="W27" s="450" t="n"/>
      <c r="Z27" s="443" t="n"/>
      <c r="AD27" s="450" t="n"/>
      <c r="AF27" s="450" t="n"/>
      <c r="AG27" s="443" t="n"/>
      <c r="AI27" s="443" t="n"/>
      <c r="AK27" s="450" t="n"/>
      <c r="AL27" s="438" t="n"/>
      <c r="AN27" s="398" t="n"/>
      <c r="AO27" s="286" t="n"/>
      <c r="AP27" s="450" t="n"/>
      <c r="AR27" s="450" t="n"/>
      <c r="AT27" s="450" t="n"/>
    </row>
    <row r="28">
      <c r="O28" s="443" t="n"/>
      <c r="P28" s="443" t="n"/>
      <c r="Q28" s="443" t="n"/>
      <c r="R28" s="450" t="n"/>
      <c r="T28" s="443" t="n"/>
      <c r="U28" s="443" t="n"/>
      <c r="V28" s="443" t="n"/>
      <c r="W28" s="450" t="n"/>
      <c r="Z28" s="443" t="n"/>
      <c r="AD28" s="450" t="n"/>
      <c r="AF28" s="450" t="n"/>
      <c r="AG28" s="443" t="n"/>
      <c r="AI28" s="443" t="n"/>
      <c r="AK28" s="450" t="n"/>
      <c r="AL28" s="438" t="n"/>
      <c r="AN28" s="398" t="n"/>
      <c r="AO28" s="286" t="n"/>
      <c r="AP28" s="450" t="n"/>
      <c r="AR28" s="450" t="n"/>
      <c r="AT28" s="450" t="n"/>
    </row>
    <row r="29">
      <c r="O29" s="443" t="n"/>
      <c r="P29" s="443" t="n"/>
      <c r="Q29" s="443" t="n"/>
      <c r="R29" s="450" t="n"/>
      <c r="T29" s="443" t="n"/>
      <c r="U29" s="443" t="n"/>
      <c r="V29" s="443" t="n"/>
      <c r="W29" s="450" t="n"/>
      <c r="Z29" s="443" t="n"/>
      <c r="AD29" s="450" t="n"/>
      <c r="AF29" s="450" t="n"/>
      <c r="AG29" s="443" t="n"/>
      <c r="AI29" s="443" t="n"/>
      <c r="AK29" s="450" t="n"/>
      <c r="AL29" s="438" t="n"/>
      <c r="AN29" s="398" t="n"/>
      <c r="AO29" s="286" t="n"/>
      <c r="AP29" s="450" t="n"/>
      <c r="AR29" s="450" t="n"/>
      <c r="AT29" s="450" t="n"/>
    </row>
    <row r="30">
      <c r="O30" s="443" t="n"/>
      <c r="P30" s="443" t="n"/>
      <c r="Q30" s="443" t="n"/>
      <c r="R30" s="450" t="n"/>
      <c r="T30" s="443" t="n"/>
      <c r="U30" s="443" t="n"/>
      <c r="V30" s="443" t="n"/>
      <c r="W30" s="450" t="n"/>
      <c r="Z30" s="443" t="n"/>
      <c r="AD30" s="450" t="n"/>
      <c r="AF30" s="450" t="n"/>
      <c r="AG30" s="443" t="n"/>
      <c r="AI30" s="443" t="n"/>
      <c r="AK30" s="450" t="n"/>
      <c r="AL30" s="438" t="n"/>
      <c r="AN30" s="398" t="n"/>
      <c r="AO30" s="286" t="n"/>
      <c r="AP30" s="450" t="n"/>
      <c r="AR30" s="450" t="n"/>
      <c r="AT30" s="450" t="n"/>
    </row>
    <row r="31">
      <c r="O31" s="443" t="n"/>
      <c r="P31" s="443" t="n"/>
      <c r="Q31" s="443" t="n"/>
      <c r="R31" s="450" t="n"/>
      <c r="T31" s="443" t="n"/>
      <c r="U31" s="443" t="n"/>
      <c r="V31" s="443" t="n"/>
      <c r="W31" s="450" t="n"/>
      <c r="Z31" s="443" t="n"/>
      <c r="AD31" s="450" t="n"/>
      <c r="AF31" s="450" t="n"/>
      <c r="AG31" s="443" t="n"/>
      <c r="AI31" s="443" t="n"/>
      <c r="AK31" s="450" t="n"/>
      <c r="AL31" s="438" t="n"/>
      <c r="AN31" s="398" t="n"/>
      <c r="AO31" s="286" t="n"/>
      <c r="AP31" s="450" t="n"/>
      <c r="AR31" s="450" t="n"/>
      <c r="AT31" s="450" t="n"/>
    </row>
    <row r="32">
      <c r="O32" s="443" t="n"/>
      <c r="P32" s="443" t="n"/>
      <c r="Q32" s="443" t="n"/>
      <c r="R32" s="450" t="n"/>
      <c r="T32" s="443" t="n"/>
      <c r="U32" s="443" t="n"/>
      <c r="V32" s="443" t="n"/>
      <c r="W32" s="450" t="n"/>
      <c r="Z32" s="443" t="n"/>
      <c r="AD32" s="450" t="n"/>
      <c r="AF32" s="450" t="n"/>
      <c r="AG32" s="443" t="n"/>
      <c r="AI32" s="443" t="n"/>
      <c r="AK32" s="450" t="n"/>
      <c r="AL32" s="438" t="n"/>
      <c r="AN32" s="398" t="n"/>
      <c r="AO32" s="286" t="n"/>
      <c r="AP32" s="450" t="n"/>
      <c r="AR32" s="450" t="n"/>
      <c r="AT32" s="450" t="n"/>
    </row>
    <row r="33">
      <c r="O33" s="443" t="n"/>
      <c r="P33" s="443" t="n"/>
      <c r="Q33" s="443" t="n"/>
      <c r="R33" s="450" t="n"/>
      <c r="T33" s="443" t="n"/>
      <c r="U33" s="443" t="n"/>
      <c r="V33" s="443" t="n"/>
      <c r="W33" s="450" t="n"/>
      <c r="Z33" s="443" t="n"/>
      <c r="AD33" s="450" t="n"/>
      <c r="AF33" s="450" t="n"/>
      <c r="AG33" s="443" t="n"/>
      <c r="AI33" s="443" t="n"/>
      <c r="AK33" s="450" t="n"/>
      <c r="AL33" s="438" t="n"/>
      <c r="AN33" s="398" t="n"/>
      <c r="AO33" s="286" t="n"/>
      <c r="AP33" s="450" t="n"/>
      <c r="AR33" s="450" t="n"/>
      <c r="AT33" s="450" t="n"/>
    </row>
    <row r="34">
      <c r="O34" s="443" t="n"/>
      <c r="P34" s="443" t="n"/>
      <c r="Q34" s="443" t="n"/>
      <c r="R34" s="450" t="n"/>
      <c r="T34" s="443" t="n"/>
      <c r="U34" s="443" t="n"/>
      <c r="V34" s="443" t="n"/>
      <c r="W34" s="450" t="n"/>
      <c r="Z34" s="443" t="n"/>
      <c r="AD34" s="450" t="n"/>
      <c r="AF34" s="450" t="n"/>
      <c r="AG34" s="443" t="n"/>
      <c r="AI34" s="443" t="n"/>
      <c r="AK34" s="450" t="n"/>
      <c r="AL34" s="438" t="n"/>
      <c r="AN34" s="398" t="n"/>
      <c r="AO34" s="286" t="n"/>
      <c r="AP34" s="450" t="n"/>
      <c r="AR34" s="450" t="n"/>
      <c r="AT34" s="450" t="n"/>
    </row>
    <row r="35">
      <c r="O35" s="443" t="n"/>
      <c r="P35" s="443" t="n"/>
      <c r="Q35" s="443" t="n"/>
      <c r="R35" s="450" t="n"/>
      <c r="T35" s="443" t="n"/>
      <c r="U35" s="443" t="n"/>
      <c r="V35" s="443" t="n"/>
      <c r="W35" s="450" t="n"/>
      <c r="Z35" s="443" t="n"/>
      <c r="AD35" s="450" t="n"/>
      <c r="AF35" s="450" t="n"/>
      <c r="AG35" s="443" t="n"/>
      <c r="AI35" s="443" t="n"/>
      <c r="AK35" s="450" t="n"/>
      <c r="AL35" s="438" t="n"/>
      <c r="AN35" s="398" t="n"/>
      <c r="AO35" s="286" t="n"/>
      <c r="AP35" s="450" t="n"/>
      <c r="AR35" s="450" t="n"/>
      <c r="AT35" s="450" t="n"/>
    </row>
    <row r="36">
      <c r="O36" s="443" t="n"/>
      <c r="P36" s="443" t="n"/>
      <c r="Q36" s="443" t="n"/>
      <c r="R36" s="450" t="n"/>
      <c r="T36" s="443" t="n"/>
      <c r="U36" s="443" t="n"/>
      <c r="V36" s="443" t="n"/>
      <c r="W36" s="450" t="n"/>
      <c r="Z36" s="443" t="n"/>
      <c r="AD36" s="450" t="n"/>
      <c r="AF36" s="450" t="n"/>
      <c r="AG36" s="443" t="n"/>
      <c r="AI36" s="443" t="n"/>
      <c r="AK36" s="450" t="n"/>
      <c r="AL36" s="438" t="n"/>
      <c r="AN36" s="398" t="n"/>
      <c r="AO36" s="286" t="n"/>
      <c r="AP36" s="450" t="n"/>
      <c r="AR36" s="450" t="n"/>
      <c r="AT36" s="450" t="n"/>
    </row>
    <row r="37">
      <c r="O37" s="443" t="n"/>
      <c r="P37" s="443" t="n"/>
      <c r="Q37" s="443" t="n"/>
      <c r="R37" s="450" t="n"/>
      <c r="T37" s="443" t="n"/>
      <c r="U37" s="443" t="n"/>
      <c r="V37" s="443" t="n"/>
      <c r="W37" s="450" t="n"/>
      <c r="Z37" s="443" t="n"/>
      <c r="AD37" s="450" t="n"/>
      <c r="AF37" s="450" t="n"/>
      <c r="AG37" s="443" t="n"/>
      <c r="AI37" s="443" t="n"/>
      <c r="AK37" s="450" t="n"/>
      <c r="AL37" s="438" t="n"/>
      <c r="AN37" s="398" t="n"/>
      <c r="AO37" s="286" t="n"/>
      <c r="AP37" s="450" t="n"/>
      <c r="AR37" s="450" t="n"/>
      <c r="AT37" s="450" t="n"/>
    </row>
    <row r="38">
      <c r="O38" s="443" t="n"/>
      <c r="P38" s="443" t="n"/>
      <c r="Q38" s="443" t="n"/>
      <c r="R38" s="450" t="n"/>
      <c r="T38" s="443" t="n"/>
      <c r="U38" s="443" t="n"/>
      <c r="V38" s="443" t="n"/>
      <c r="W38" s="450" t="n"/>
      <c r="Z38" s="443" t="n"/>
      <c r="AD38" s="450" t="n"/>
      <c r="AF38" s="450" t="n"/>
      <c r="AG38" s="443" t="n"/>
      <c r="AI38" s="443" t="n"/>
      <c r="AK38" s="450" t="n"/>
      <c r="AL38" s="438" t="n"/>
      <c r="AN38" s="398" t="n"/>
      <c r="AO38" s="286" t="n"/>
      <c r="AP38" s="450" t="n"/>
      <c r="AR38" s="450" t="n"/>
      <c r="AT38" s="450" t="n"/>
    </row>
    <row r="39">
      <c r="O39" s="443" t="n"/>
      <c r="P39" s="443" t="n"/>
      <c r="Q39" s="443" t="n"/>
      <c r="R39" s="450" t="n"/>
      <c r="T39" s="443" t="n"/>
      <c r="U39" s="443" t="n"/>
      <c r="V39" s="443" t="n"/>
      <c r="W39" s="450" t="n"/>
      <c r="Z39" s="443" t="n"/>
      <c r="AD39" s="450" t="n"/>
      <c r="AF39" s="450" t="n"/>
      <c r="AG39" s="443" t="n"/>
      <c r="AI39" s="443" t="n"/>
      <c r="AK39" s="450" t="n"/>
      <c r="AL39" s="438" t="n"/>
      <c r="AN39" s="398" t="n"/>
      <c r="AO39" s="286" t="n"/>
      <c r="AP39" s="450" t="n"/>
      <c r="AR39" s="450" t="n"/>
      <c r="AT39" s="450" t="n"/>
    </row>
    <row r="40">
      <c r="O40" s="443" t="n"/>
      <c r="P40" s="443" t="n"/>
      <c r="Q40" s="443" t="n"/>
      <c r="R40" s="450" t="n"/>
      <c r="T40" s="443" t="n"/>
      <c r="U40" s="443" t="n"/>
      <c r="V40" s="443" t="n"/>
      <c r="W40" s="450" t="n"/>
      <c r="Z40" s="443" t="n"/>
      <c r="AD40" s="450" t="n"/>
      <c r="AF40" s="450" t="n"/>
      <c r="AG40" s="443" t="n"/>
      <c r="AI40" s="443" t="n"/>
      <c r="AK40" s="450" t="n"/>
      <c r="AL40" s="438" t="n"/>
      <c r="AN40" s="398" t="n"/>
      <c r="AO40" s="286" t="n"/>
      <c r="AP40" s="450" t="n"/>
      <c r="AR40" s="450" t="n"/>
      <c r="AT40" s="450" t="n"/>
    </row>
    <row r="41">
      <c r="O41" s="443" t="n"/>
      <c r="P41" s="443" t="n"/>
      <c r="Q41" s="443" t="n"/>
      <c r="R41" s="450" t="n"/>
      <c r="T41" s="443" t="n"/>
      <c r="U41" s="443" t="n"/>
      <c r="V41" s="443" t="n"/>
      <c r="W41" s="450" t="n"/>
      <c r="Z41" s="443" t="n"/>
      <c r="AD41" s="450" t="n"/>
      <c r="AF41" s="450" t="n"/>
      <c r="AG41" s="443" t="n"/>
      <c r="AI41" s="443" t="n"/>
      <c r="AK41" s="450" t="n"/>
      <c r="AL41" s="438" t="n"/>
      <c r="AN41" s="398" t="n"/>
      <c r="AO41" s="286" t="n"/>
      <c r="AP41" s="450" t="n"/>
      <c r="AR41" s="450" t="n"/>
      <c r="AT41" s="450" t="n"/>
    </row>
    <row r="42">
      <c r="O42" s="443" t="n"/>
      <c r="P42" s="443" t="n"/>
      <c r="Q42" s="443" t="n"/>
      <c r="R42" s="450" t="n"/>
      <c r="T42" s="443" t="n"/>
      <c r="U42" s="443" t="n"/>
      <c r="V42" s="443" t="n"/>
      <c r="W42" s="450" t="n"/>
      <c r="Z42" s="443" t="n"/>
      <c r="AD42" s="450" t="n"/>
      <c r="AF42" s="450" t="n"/>
      <c r="AG42" s="443" t="n"/>
      <c r="AI42" s="443" t="n"/>
      <c r="AK42" s="450" t="n"/>
      <c r="AL42" s="438" t="n"/>
      <c r="AN42" s="398" t="n"/>
      <c r="AO42" s="286" t="n"/>
      <c r="AP42" s="450" t="n"/>
      <c r="AR42" s="450" t="n"/>
      <c r="AT42" s="450" t="n"/>
    </row>
    <row r="43">
      <c r="O43" s="443" t="n"/>
      <c r="P43" s="443" t="n"/>
      <c r="Q43" s="443" t="n"/>
      <c r="R43" s="450" t="n"/>
      <c r="T43" s="443" t="n"/>
      <c r="U43" s="443" t="n"/>
      <c r="V43" s="443" t="n"/>
      <c r="W43" s="450" t="n"/>
      <c r="Z43" s="443" t="n"/>
      <c r="AD43" s="450" t="n"/>
      <c r="AF43" s="450" t="n"/>
      <c r="AG43" s="443" t="n"/>
      <c r="AI43" s="443" t="n"/>
      <c r="AK43" s="450" t="n"/>
      <c r="AL43" s="438" t="n"/>
      <c r="AN43" s="398" t="n"/>
      <c r="AO43" s="286" t="n"/>
      <c r="AP43" s="450" t="n"/>
      <c r="AR43" s="450" t="n"/>
      <c r="AT43" s="450" t="n"/>
    </row>
    <row r="44">
      <c r="O44" s="443" t="n"/>
      <c r="P44" s="443" t="n"/>
      <c r="Q44" s="443" t="n"/>
      <c r="R44" s="450" t="n"/>
      <c r="T44" s="443" t="n"/>
      <c r="U44" s="443" t="n"/>
      <c r="V44" s="443" t="n"/>
      <c r="W44" s="450" t="n"/>
      <c r="Z44" s="443" t="n"/>
      <c r="AD44" s="450" t="n"/>
      <c r="AF44" s="450" t="n"/>
      <c r="AG44" s="443" t="n"/>
      <c r="AI44" s="443" t="n"/>
      <c r="AK44" s="450" t="n"/>
      <c r="AL44" s="438" t="n"/>
      <c r="AN44" s="398" t="n"/>
      <c r="AO44" s="286" t="n"/>
      <c r="AP44" s="450" t="n"/>
      <c r="AR44" s="450" t="n"/>
      <c r="AT44" s="450" t="n"/>
    </row>
    <row r="45">
      <c r="O45" s="443" t="n"/>
      <c r="P45" s="443" t="n"/>
      <c r="Q45" s="443" t="n"/>
      <c r="R45" s="450" t="n"/>
      <c r="T45" s="443" t="n"/>
      <c r="U45" s="443" t="n"/>
      <c r="V45" s="443" t="n"/>
      <c r="W45" s="450" t="n"/>
      <c r="Z45" s="443" t="n"/>
      <c r="AD45" s="450" t="n"/>
      <c r="AF45" s="450" t="n"/>
      <c r="AG45" s="443" t="n"/>
      <c r="AI45" s="443" t="n"/>
      <c r="AK45" s="450" t="n"/>
      <c r="AL45" s="438" t="n"/>
      <c r="AN45" s="398" t="n"/>
      <c r="AO45" s="286" t="n"/>
      <c r="AP45" s="450" t="n"/>
      <c r="AR45" s="450" t="n"/>
      <c r="AT45" s="450" t="n"/>
    </row>
    <row r="46">
      <c r="O46" s="443" t="n"/>
      <c r="P46" s="443" t="n"/>
      <c r="Q46" s="443" t="n"/>
      <c r="R46" s="450" t="n"/>
      <c r="T46" s="443" t="n"/>
      <c r="U46" s="443" t="n"/>
      <c r="V46" s="443" t="n"/>
      <c r="W46" s="450" t="n"/>
      <c r="Z46" s="443" t="n"/>
      <c r="AD46" s="450" t="n"/>
      <c r="AF46" s="450" t="n"/>
      <c r="AG46" s="443" t="n"/>
      <c r="AI46" s="443" t="n"/>
      <c r="AK46" s="450" t="n"/>
      <c r="AL46" s="438" t="n"/>
      <c r="AN46" s="398" t="n"/>
      <c r="AO46" s="286" t="n"/>
      <c r="AP46" s="450" t="n"/>
      <c r="AR46" s="450" t="n"/>
      <c r="AT46" s="450" t="n"/>
    </row>
    <row r="47">
      <c r="O47" s="443" t="n"/>
      <c r="P47" s="443" t="n"/>
      <c r="Q47" s="443" t="n"/>
      <c r="R47" s="450" t="n"/>
      <c r="T47" s="443" t="n"/>
      <c r="U47" s="443" t="n"/>
      <c r="V47" s="443" t="n"/>
      <c r="W47" s="450" t="n"/>
      <c r="Z47" s="443" t="n"/>
      <c r="AD47" s="450" t="n"/>
      <c r="AF47" s="450" t="n"/>
      <c r="AG47" s="443" t="n"/>
      <c r="AI47" s="443" t="n"/>
      <c r="AK47" s="450" t="n"/>
      <c r="AL47" s="438" t="n"/>
      <c r="AN47" s="398" t="n"/>
      <c r="AO47" s="286" t="n"/>
      <c r="AP47" s="450" t="n"/>
      <c r="AR47" s="450" t="n"/>
      <c r="AT47" s="450" t="n"/>
    </row>
    <row r="48">
      <c r="O48" s="443" t="n"/>
      <c r="P48" s="443" t="n"/>
      <c r="Q48" s="443" t="n"/>
      <c r="R48" s="450" t="n"/>
      <c r="T48" s="443" t="n"/>
      <c r="U48" s="443" t="n"/>
      <c r="V48" s="443" t="n"/>
      <c r="W48" s="450" t="n"/>
      <c r="Z48" s="443" t="n"/>
      <c r="AD48" s="450" t="n"/>
      <c r="AF48" s="450" t="n"/>
      <c r="AG48" s="443" t="n"/>
      <c r="AI48" s="443" t="n"/>
      <c r="AK48" s="450" t="n"/>
      <c r="AL48" s="438" t="n"/>
      <c r="AN48" s="398" t="n"/>
      <c r="AO48" s="286" t="n"/>
      <c r="AP48" s="450" t="n"/>
      <c r="AR48" s="450" t="n"/>
      <c r="AT48" s="450" t="n"/>
    </row>
    <row r="49">
      <c r="O49" s="443" t="n"/>
      <c r="P49" s="443" t="n"/>
      <c r="Q49" s="443" t="n"/>
      <c r="R49" s="450" t="n"/>
      <c r="T49" s="443" t="n"/>
      <c r="U49" s="443" t="n"/>
      <c r="V49" s="443" t="n"/>
      <c r="W49" s="450" t="n"/>
      <c r="Z49" s="443" t="n"/>
      <c r="AD49" s="450" t="n"/>
      <c r="AF49" s="450" t="n"/>
      <c r="AG49" s="443" t="n"/>
      <c r="AI49" s="443" t="n"/>
      <c r="AK49" s="450" t="n"/>
      <c r="AL49" s="438" t="n"/>
      <c r="AN49" s="398" t="n"/>
      <c r="AO49" s="286" t="n"/>
      <c r="AP49" s="450" t="n"/>
      <c r="AR49" s="450" t="n"/>
      <c r="AT49" s="450" t="n"/>
    </row>
    <row r="50">
      <c r="O50" s="443" t="n"/>
      <c r="P50" s="443" t="n"/>
      <c r="Q50" s="443" t="n"/>
      <c r="R50" s="450" t="n"/>
      <c r="T50" s="443" t="n"/>
      <c r="U50" s="443" t="n"/>
      <c r="V50" s="443" t="n"/>
      <c r="W50" s="450" t="n"/>
      <c r="Z50" s="443" t="n"/>
      <c r="AD50" s="450" t="n"/>
      <c r="AF50" s="450" t="n"/>
      <c r="AG50" s="443" t="n"/>
      <c r="AI50" s="443" t="n"/>
      <c r="AK50" s="450" t="n"/>
      <c r="AL50" s="438" t="n"/>
      <c r="AN50" s="398" t="n"/>
      <c r="AO50" s="286" t="n"/>
      <c r="AP50" s="450" t="n"/>
      <c r="AR50" s="450" t="n"/>
      <c r="AT50" s="450" t="n"/>
    </row>
    <row r="51">
      <c r="O51" s="443" t="n"/>
      <c r="P51" s="443" t="n"/>
      <c r="Q51" s="443" t="n"/>
      <c r="R51" s="450" t="n"/>
      <c r="T51" s="443" t="n"/>
      <c r="U51" s="443" t="n"/>
      <c r="V51" s="443" t="n"/>
      <c r="W51" s="450" t="n"/>
      <c r="Z51" s="443" t="n"/>
      <c r="AD51" s="450" t="n"/>
      <c r="AF51" s="450" t="n"/>
      <c r="AG51" s="443" t="n"/>
      <c r="AI51" s="443" t="n"/>
      <c r="AK51" s="450" t="n"/>
      <c r="AL51" s="438" t="n"/>
      <c r="AN51" s="398" t="n"/>
      <c r="AO51" s="286" t="n"/>
      <c r="AP51" s="450" t="n"/>
      <c r="AR51" s="450" t="n"/>
      <c r="AT51" s="450" t="n"/>
    </row>
    <row r="52">
      <c r="O52" s="443" t="n"/>
      <c r="P52" s="443" t="n"/>
      <c r="Q52" s="443" t="n"/>
      <c r="R52" s="450" t="n"/>
      <c r="T52" s="443" t="n"/>
      <c r="U52" s="443" t="n"/>
      <c r="V52" s="443" t="n"/>
      <c r="W52" s="450" t="n"/>
      <c r="Z52" s="443" t="n"/>
      <c r="AD52" s="450" t="n"/>
      <c r="AF52" s="450" t="n"/>
      <c r="AG52" s="443" t="n"/>
      <c r="AI52" s="443" t="n"/>
      <c r="AK52" s="450" t="n"/>
      <c r="AL52" s="438" t="n"/>
      <c r="AN52" s="398" t="n"/>
      <c r="AO52" s="286" t="n"/>
      <c r="AP52" s="450" t="n"/>
      <c r="AR52" s="450" t="n"/>
      <c r="AT52" s="450" t="n"/>
    </row>
    <row r="53">
      <c r="O53" s="443" t="n"/>
      <c r="P53" s="443" t="n"/>
      <c r="Q53" s="443" t="n"/>
      <c r="R53" s="450" t="n"/>
      <c r="T53" s="443" t="n"/>
      <c r="U53" s="443" t="n"/>
      <c r="V53" s="443" t="n"/>
      <c r="W53" s="450" t="n"/>
      <c r="Z53" s="443" t="n"/>
      <c r="AD53" s="450" t="n"/>
      <c r="AF53" s="450" t="n"/>
      <c r="AG53" s="443" t="n"/>
      <c r="AI53" s="443" t="n"/>
      <c r="AK53" s="450" t="n"/>
      <c r="AL53" s="438" t="n"/>
      <c r="AN53" s="398" t="n"/>
      <c r="AO53" s="286" t="n"/>
      <c r="AP53" s="450" t="n"/>
      <c r="AR53" s="450" t="n"/>
      <c r="AT53" s="450" t="n"/>
    </row>
    <row r="54">
      <c r="O54" s="443" t="n"/>
      <c r="P54" s="443" t="n"/>
      <c r="Q54" s="443" t="n"/>
      <c r="R54" s="450" t="n"/>
      <c r="T54" s="443" t="n"/>
      <c r="U54" s="443" t="n"/>
      <c r="V54" s="443" t="n"/>
      <c r="W54" s="450" t="n"/>
      <c r="Z54" s="443" t="n"/>
      <c r="AD54" s="450" t="n"/>
      <c r="AF54" s="450" t="n"/>
      <c r="AG54" s="443" t="n"/>
      <c r="AI54" s="443" t="n"/>
      <c r="AK54" s="450" t="n"/>
      <c r="AL54" s="438" t="n"/>
      <c r="AN54" s="398" t="n"/>
      <c r="AO54" s="286" t="n"/>
      <c r="AP54" s="450" t="n"/>
      <c r="AR54" s="450" t="n"/>
      <c r="AT54" s="450" t="n"/>
    </row>
    <row r="55">
      <c r="O55" s="443" t="n"/>
      <c r="P55" s="443" t="n"/>
      <c r="Q55" s="443" t="n"/>
      <c r="R55" s="450" t="n"/>
      <c r="T55" s="443" t="n"/>
      <c r="U55" s="443" t="n"/>
      <c r="V55" s="443" t="n"/>
      <c r="W55" s="450" t="n"/>
      <c r="Z55" s="443" t="n"/>
      <c r="AD55" s="450" t="n"/>
      <c r="AF55" s="450" t="n"/>
      <c r="AG55" s="443" t="n"/>
      <c r="AI55" s="443" t="n"/>
      <c r="AK55" s="450" t="n"/>
      <c r="AL55" s="438" t="n"/>
      <c r="AN55" s="398" t="n"/>
      <c r="AO55" s="286" t="n"/>
      <c r="AP55" s="450" t="n"/>
      <c r="AR55" s="450" t="n"/>
      <c r="AT55" s="450" t="n"/>
    </row>
    <row r="56">
      <c r="O56" s="443" t="n"/>
      <c r="P56" s="443" t="n"/>
      <c r="Q56" s="443" t="n"/>
      <c r="R56" s="450" t="n"/>
      <c r="T56" s="443" t="n"/>
      <c r="U56" s="443" t="n"/>
      <c r="V56" s="443" t="n"/>
      <c r="W56" s="450" t="n"/>
      <c r="Z56" s="443" t="n"/>
      <c r="AD56" s="450" t="n"/>
      <c r="AF56" s="450" t="n"/>
      <c r="AG56" s="443" t="n"/>
      <c r="AI56" s="443" t="n"/>
      <c r="AK56" s="450" t="n"/>
      <c r="AL56" s="438" t="n"/>
      <c r="AN56" s="398" t="n"/>
      <c r="AO56" s="286" t="n"/>
      <c r="AP56" s="450" t="n"/>
      <c r="AR56" s="450" t="n"/>
      <c r="AT56" s="450" t="n"/>
    </row>
    <row r="57">
      <c r="O57" s="443" t="n"/>
      <c r="P57" s="443" t="n"/>
      <c r="Q57" s="443" t="n"/>
      <c r="R57" s="450" t="n"/>
      <c r="T57" s="443" t="n"/>
      <c r="U57" s="443" t="n"/>
      <c r="V57" s="443" t="n"/>
      <c r="W57" s="450" t="n"/>
      <c r="Z57" s="443" t="n"/>
      <c r="AD57" s="450" t="n"/>
      <c r="AF57" s="450" t="n"/>
      <c r="AG57" s="443" t="n"/>
      <c r="AI57" s="443" t="n"/>
      <c r="AK57" s="450" t="n"/>
      <c r="AL57" s="438" t="n"/>
      <c r="AN57" s="398" t="n"/>
      <c r="AO57" s="286" t="n"/>
      <c r="AP57" s="450" t="n"/>
      <c r="AR57" s="450" t="n"/>
      <c r="AT57" s="450" t="n"/>
    </row>
    <row r="58">
      <c r="O58" s="443" t="n"/>
      <c r="P58" s="443" t="n"/>
      <c r="Q58" s="443" t="n"/>
      <c r="R58" s="450" t="n"/>
      <c r="T58" s="443" t="n"/>
      <c r="U58" s="443" t="n"/>
      <c r="V58" s="443" t="n"/>
      <c r="W58" s="450" t="n"/>
      <c r="Z58" s="443" t="n"/>
      <c r="AD58" s="450" t="n"/>
      <c r="AF58" s="450" t="n"/>
      <c r="AG58" s="443" t="n"/>
      <c r="AI58" s="443" t="n"/>
      <c r="AK58" s="450" t="n"/>
      <c r="AL58" s="438" t="n"/>
      <c r="AN58" s="398" t="n"/>
      <c r="AO58" s="286" t="n"/>
      <c r="AP58" s="450" t="n"/>
      <c r="AR58" s="450" t="n"/>
      <c r="AT58" s="450" t="n"/>
    </row>
    <row r="59">
      <c r="O59" s="443" t="n"/>
      <c r="P59" s="443" t="n"/>
      <c r="Q59" s="443" t="n"/>
      <c r="R59" s="450" t="n"/>
      <c r="T59" s="443" t="n"/>
      <c r="U59" s="443" t="n"/>
      <c r="V59" s="443" t="n"/>
      <c r="W59" s="450" t="n"/>
      <c r="Z59" s="443" t="n"/>
      <c r="AD59" s="450" t="n"/>
      <c r="AF59" s="450" t="n"/>
      <c r="AG59" s="443" t="n"/>
      <c r="AI59" s="443" t="n"/>
      <c r="AK59" s="450" t="n"/>
      <c r="AL59" s="438" t="n"/>
      <c r="AN59" s="398" t="n"/>
      <c r="AO59" s="286" t="n"/>
      <c r="AP59" s="450" t="n"/>
      <c r="AR59" s="450" t="n"/>
      <c r="AT59" s="450" t="n"/>
    </row>
    <row r="60">
      <c r="O60" s="443" t="n"/>
      <c r="P60" s="443" t="n"/>
      <c r="Q60" s="443" t="n"/>
      <c r="R60" s="450" t="n"/>
      <c r="T60" s="443" t="n"/>
      <c r="U60" s="443" t="n"/>
      <c r="V60" s="443" t="n"/>
      <c r="W60" s="450" t="n"/>
      <c r="Z60" s="443" t="n"/>
      <c r="AD60" s="450" t="n"/>
      <c r="AF60" s="450" t="n"/>
      <c r="AG60" s="443" t="n"/>
      <c r="AI60" s="443" t="n"/>
      <c r="AK60" s="450" t="n"/>
      <c r="AL60" s="438" t="n"/>
      <c r="AN60" s="398" t="n"/>
      <c r="AO60" s="286" t="n"/>
      <c r="AP60" s="450" t="n"/>
      <c r="AR60" s="450" t="n"/>
      <c r="AT60" s="450" t="n"/>
    </row>
    <row r="61">
      <c r="O61" s="443" t="n"/>
      <c r="P61" s="443" t="n"/>
      <c r="Q61" s="443" t="n"/>
      <c r="R61" s="450" t="n"/>
      <c r="T61" s="443" t="n"/>
      <c r="U61" s="443" t="n"/>
      <c r="V61" s="443" t="n"/>
      <c r="W61" s="450" t="n"/>
      <c r="Z61" s="443" t="n"/>
      <c r="AD61" s="450" t="n"/>
      <c r="AF61" s="450" t="n"/>
      <c r="AG61" s="443" t="n"/>
      <c r="AI61" s="443" t="n"/>
      <c r="AK61" s="450" t="n"/>
      <c r="AL61" s="438" t="n"/>
      <c r="AN61" s="398" t="n"/>
      <c r="AO61" s="286" t="n"/>
      <c r="AP61" s="450" t="n"/>
      <c r="AR61" s="450" t="n"/>
      <c r="AT61" s="450" t="n"/>
    </row>
    <row r="62">
      <c r="O62" s="443" t="n"/>
      <c r="P62" s="443" t="n"/>
      <c r="Q62" s="443" t="n"/>
      <c r="R62" s="450" t="n"/>
      <c r="T62" s="443" t="n"/>
      <c r="U62" s="443" t="n"/>
      <c r="V62" s="443" t="n"/>
      <c r="W62" s="450" t="n"/>
      <c r="Z62" s="443" t="n"/>
      <c r="AD62" s="450" t="n"/>
      <c r="AF62" s="450" t="n"/>
      <c r="AG62" s="443" t="n"/>
      <c r="AI62" s="443" t="n"/>
      <c r="AK62" s="450" t="n"/>
      <c r="AL62" s="438" t="n"/>
      <c r="AN62" s="398" t="n"/>
      <c r="AO62" s="286" t="n"/>
      <c r="AP62" s="450" t="n"/>
      <c r="AR62" s="450" t="n"/>
      <c r="AT62" s="450" t="n"/>
    </row>
    <row r="63">
      <c r="O63" s="443" t="n"/>
      <c r="P63" s="443" t="n"/>
      <c r="Q63" s="443" t="n"/>
      <c r="R63" s="450" t="n"/>
      <c r="T63" s="443" t="n"/>
      <c r="U63" s="443" t="n"/>
      <c r="V63" s="443" t="n"/>
      <c r="W63" s="450" t="n"/>
      <c r="Z63" s="443" t="n"/>
      <c r="AD63" s="450" t="n"/>
      <c r="AF63" s="450" t="n"/>
      <c r="AG63" s="443" t="n"/>
      <c r="AI63" s="443" t="n"/>
      <c r="AK63" s="450" t="n"/>
      <c r="AL63" s="438" t="n"/>
      <c r="AN63" s="398" t="n"/>
      <c r="AO63" s="286" t="n"/>
      <c r="AP63" s="450" t="n"/>
      <c r="AR63" s="450" t="n"/>
      <c r="AT63" s="450" t="n"/>
    </row>
    <row r="64">
      <c r="O64" s="443" t="n"/>
      <c r="P64" s="443" t="n"/>
      <c r="Q64" s="443" t="n"/>
      <c r="R64" s="450" t="n"/>
      <c r="T64" s="443" t="n"/>
      <c r="U64" s="443" t="n"/>
      <c r="V64" s="443" t="n"/>
      <c r="W64" s="450" t="n"/>
      <c r="Z64" s="443" t="n"/>
      <c r="AD64" s="450" t="n"/>
      <c r="AF64" s="450" t="n"/>
      <c r="AG64" s="443" t="n"/>
      <c r="AI64" s="443" t="n"/>
      <c r="AK64" s="450" t="n"/>
      <c r="AL64" s="438" t="n"/>
      <c r="AN64" s="398" t="n"/>
      <c r="AO64" s="286" t="n"/>
      <c r="AP64" s="450" t="n"/>
      <c r="AR64" s="450" t="n"/>
      <c r="AT64" s="450" t="n"/>
    </row>
    <row r="65">
      <c r="O65" s="443" t="n"/>
      <c r="P65" s="443" t="n"/>
      <c r="Q65" s="443" t="n"/>
      <c r="R65" s="450" t="n"/>
      <c r="T65" s="443" t="n"/>
      <c r="U65" s="443" t="n"/>
      <c r="V65" s="443" t="n"/>
      <c r="W65" s="450" t="n"/>
      <c r="Z65" s="443" t="n"/>
      <c r="AD65" s="450" t="n"/>
      <c r="AF65" s="450" t="n"/>
      <c r="AG65" s="443" t="n"/>
      <c r="AI65" s="443" t="n"/>
      <c r="AK65" s="450" t="n"/>
      <c r="AL65" s="438" t="n"/>
      <c r="AN65" s="398" t="n"/>
      <c r="AO65" s="286" t="n"/>
      <c r="AP65" s="450" t="n"/>
      <c r="AR65" s="450" t="n"/>
      <c r="AT65" s="450" t="n"/>
    </row>
    <row r="66">
      <c r="O66" s="443" t="n"/>
      <c r="P66" s="443" t="n"/>
      <c r="Q66" s="443" t="n"/>
      <c r="R66" s="450" t="n"/>
      <c r="T66" s="443" t="n"/>
      <c r="U66" s="443" t="n"/>
      <c r="V66" s="443" t="n"/>
      <c r="W66" s="450" t="n"/>
      <c r="Z66" s="443" t="n"/>
      <c r="AD66" s="450" t="n"/>
      <c r="AF66" s="450" t="n"/>
      <c r="AG66" s="443" t="n"/>
      <c r="AI66" s="443" t="n"/>
      <c r="AK66" s="450" t="n"/>
      <c r="AL66" s="438" t="n"/>
      <c r="AN66" s="398" t="n"/>
      <c r="AO66" s="286" t="n"/>
      <c r="AP66" s="450" t="n"/>
      <c r="AR66" s="450" t="n"/>
      <c r="AT66" s="450" t="n"/>
    </row>
    <row r="67">
      <c r="O67" s="443" t="n"/>
      <c r="P67" s="443" t="n"/>
      <c r="Q67" s="443" t="n"/>
      <c r="R67" s="450" t="n"/>
      <c r="T67" s="443" t="n"/>
      <c r="U67" s="443" t="n"/>
      <c r="V67" s="443" t="n"/>
      <c r="W67" s="450" t="n"/>
      <c r="Z67" s="443" t="n"/>
      <c r="AD67" s="450" t="n"/>
      <c r="AF67" s="450" t="n"/>
      <c r="AG67" s="443" t="n"/>
      <c r="AI67" s="443" t="n"/>
      <c r="AK67" s="450" t="n"/>
      <c r="AL67" s="438" t="n"/>
      <c r="AN67" s="398" t="n"/>
      <c r="AO67" s="286" t="n"/>
      <c r="AP67" s="450" t="n"/>
      <c r="AR67" s="450" t="n"/>
      <c r="AT67" s="450" t="n"/>
    </row>
    <row r="68">
      <c r="O68" s="443" t="n"/>
      <c r="P68" s="443" t="n"/>
      <c r="Q68" s="443" t="n"/>
      <c r="R68" s="450" t="n"/>
      <c r="T68" s="443" t="n"/>
      <c r="U68" s="443" t="n"/>
      <c r="V68" s="443" t="n"/>
      <c r="W68" s="450" t="n"/>
      <c r="Z68" s="443" t="n"/>
      <c r="AD68" s="450" t="n"/>
      <c r="AF68" s="450" t="n"/>
      <c r="AG68" s="443" t="n"/>
      <c r="AI68" s="443" t="n"/>
      <c r="AK68" s="450" t="n"/>
      <c r="AL68" s="438" t="n"/>
      <c r="AN68" s="398" t="n"/>
      <c r="AO68" s="286" t="n"/>
      <c r="AP68" s="450" t="n"/>
      <c r="AR68" s="450" t="n"/>
      <c r="AT68" s="450" t="n"/>
    </row>
    <row r="69">
      <c r="O69" s="443" t="n"/>
      <c r="P69" s="443" t="n"/>
      <c r="Q69" s="443" t="n"/>
      <c r="R69" s="450" t="n"/>
      <c r="T69" s="443" t="n"/>
      <c r="U69" s="443" t="n"/>
      <c r="V69" s="443" t="n"/>
      <c r="W69" s="450" t="n"/>
      <c r="Z69" s="443" t="n"/>
      <c r="AD69" s="450" t="n"/>
      <c r="AF69" s="450" t="n"/>
      <c r="AG69" s="443" t="n"/>
      <c r="AI69" s="443" t="n"/>
      <c r="AK69" s="450" t="n"/>
      <c r="AL69" s="438" t="n"/>
      <c r="AN69" s="398" t="n"/>
      <c r="AO69" s="286" t="n"/>
      <c r="AP69" s="450" t="n"/>
      <c r="AR69" s="450" t="n"/>
      <c r="AT69" s="450" t="n"/>
    </row>
    <row r="70">
      <c r="O70" s="443" t="n"/>
      <c r="P70" s="443" t="n"/>
      <c r="Q70" s="443" t="n"/>
      <c r="R70" s="450" t="n"/>
      <c r="T70" s="443" t="n"/>
      <c r="U70" s="443" t="n"/>
      <c r="V70" s="443" t="n"/>
      <c r="W70" s="450" t="n"/>
      <c r="Z70" s="443" t="n"/>
      <c r="AD70" s="450" t="n"/>
      <c r="AF70" s="450" t="n"/>
      <c r="AG70" s="443" t="n"/>
      <c r="AI70" s="443" t="n"/>
      <c r="AK70" s="450" t="n"/>
      <c r="AL70" s="438" t="n"/>
      <c r="AN70" s="398" t="n"/>
      <c r="AO70" s="286" t="n"/>
      <c r="AP70" s="450" t="n"/>
      <c r="AR70" s="450" t="n"/>
      <c r="AT70" s="450" t="n"/>
    </row>
    <row r="71">
      <c r="O71" s="443" t="n"/>
      <c r="P71" s="443" t="n"/>
      <c r="Q71" s="443" t="n"/>
      <c r="R71" s="450" t="n"/>
      <c r="T71" s="443" t="n"/>
      <c r="U71" s="443" t="n"/>
      <c r="V71" s="443" t="n"/>
      <c r="W71" s="450" t="n"/>
      <c r="Z71" s="443" t="n"/>
      <c r="AD71" s="450" t="n"/>
      <c r="AF71" s="450" t="n"/>
      <c r="AG71" s="443" t="n"/>
      <c r="AI71" s="443" t="n"/>
      <c r="AK71" s="450" t="n"/>
      <c r="AL71" s="438" t="n"/>
      <c r="AN71" s="398" t="n"/>
      <c r="AO71" s="286" t="n"/>
      <c r="AP71" s="450" t="n"/>
      <c r="AR71" s="450" t="n"/>
      <c r="AT71" s="450" t="n"/>
    </row>
    <row r="72">
      <c r="O72" s="443" t="n"/>
      <c r="P72" s="443" t="n"/>
      <c r="Q72" s="443" t="n"/>
      <c r="R72" s="450" t="n"/>
      <c r="T72" s="443" t="n"/>
      <c r="U72" s="443" t="n"/>
      <c r="V72" s="443" t="n"/>
      <c r="W72" s="450" t="n"/>
      <c r="Z72" s="443" t="n"/>
      <c r="AD72" s="450" t="n"/>
      <c r="AF72" s="450" t="n"/>
      <c r="AG72" s="443" t="n"/>
      <c r="AI72" s="443" t="n"/>
      <c r="AK72" s="450" t="n"/>
      <c r="AL72" s="438" t="n"/>
      <c r="AN72" s="398" t="n"/>
      <c r="AO72" s="286" t="n"/>
      <c r="AP72" s="450" t="n"/>
      <c r="AR72" s="450" t="n"/>
      <c r="AT72" s="450" t="n"/>
    </row>
    <row r="73">
      <c r="O73" s="443" t="n"/>
      <c r="P73" s="443" t="n"/>
      <c r="Q73" s="443" t="n"/>
      <c r="R73" s="450" t="n"/>
      <c r="T73" s="443" t="n"/>
      <c r="U73" s="443" t="n"/>
      <c r="V73" s="443" t="n"/>
      <c r="W73" s="450" t="n"/>
      <c r="Z73" s="443" t="n"/>
      <c r="AD73" s="450" t="n"/>
      <c r="AF73" s="450" t="n"/>
      <c r="AG73" s="443" t="n"/>
      <c r="AI73" s="443" t="n"/>
      <c r="AK73" s="450" t="n"/>
      <c r="AL73" s="438" t="n"/>
      <c r="AN73" s="398" t="n"/>
      <c r="AO73" s="286" t="n"/>
      <c r="AP73" s="450" t="n"/>
      <c r="AR73" s="450" t="n"/>
      <c r="AT73" s="450" t="n"/>
    </row>
    <row r="74">
      <c r="O74" s="443" t="n"/>
      <c r="P74" s="443" t="n"/>
      <c r="Q74" s="443" t="n"/>
      <c r="R74" s="450" t="n"/>
      <c r="T74" s="443" t="n"/>
      <c r="U74" s="443" t="n"/>
      <c r="V74" s="443" t="n"/>
      <c r="W74" s="450" t="n"/>
      <c r="Z74" s="443" t="n"/>
      <c r="AD74" s="450" t="n"/>
      <c r="AF74" s="450" t="n"/>
      <c r="AG74" s="443" t="n"/>
      <c r="AI74" s="443" t="n"/>
      <c r="AK74" s="450" t="n"/>
      <c r="AL74" s="438" t="n"/>
      <c r="AN74" s="398" t="n"/>
      <c r="AO74" s="286" t="n"/>
      <c r="AP74" s="450" t="n"/>
      <c r="AR74" s="450" t="n"/>
      <c r="AT74" s="450" t="n"/>
    </row>
    <row r="75">
      <c r="O75" s="443" t="n"/>
      <c r="P75" s="443" t="n"/>
      <c r="Q75" s="443" t="n"/>
      <c r="R75" s="450" t="n"/>
      <c r="T75" s="443" t="n"/>
      <c r="U75" s="443" t="n"/>
      <c r="V75" s="443" t="n"/>
      <c r="W75" s="450" t="n"/>
      <c r="Z75" s="443" t="n"/>
      <c r="AD75" s="450" t="n"/>
      <c r="AF75" s="450" t="n"/>
      <c r="AG75" s="443" t="n"/>
      <c r="AI75" s="443" t="n"/>
      <c r="AK75" s="450" t="n"/>
      <c r="AL75" s="438" t="n"/>
      <c r="AN75" s="398" t="n"/>
      <c r="AO75" s="286" t="n"/>
      <c r="AP75" s="450" t="n"/>
      <c r="AR75" s="450" t="n"/>
      <c r="AT75" s="450" t="n"/>
    </row>
    <row r="76">
      <c r="O76" s="443" t="n"/>
      <c r="P76" s="443" t="n"/>
      <c r="Q76" s="443" t="n"/>
      <c r="R76" s="450" t="n"/>
      <c r="T76" s="443" t="n"/>
      <c r="U76" s="443" t="n"/>
      <c r="V76" s="443" t="n"/>
      <c r="W76" s="450" t="n"/>
      <c r="Z76" s="443" t="n"/>
      <c r="AD76" s="450" t="n"/>
      <c r="AF76" s="450" t="n"/>
      <c r="AG76" s="443" t="n"/>
      <c r="AI76" s="443" t="n"/>
      <c r="AK76" s="450" t="n"/>
      <c r="AL76" s="438" t="n"/>
      <c r="AN76" s="398" t="n"/>
      <c r="AO76" s="286" t="n"/>
      <c r="AP76" s="450" t="n"/>
      <c r="AR76" s="450" t="n"/>
      <c r="AT76" s="450" t="n"/>
    </row>
    <row r="77">
      <c r="O77" s="443" t="n"/>
      <c r="P77" s="443" t="n"/>
      <c r="Q77" s="443" t="n"/>
      <c r="R77" s="450" t="n"/>
      <c r="T77" s="443" t="n"/>
      <c r="U77" s="443" t="n"/>
      <c r="V77" s="443" t="n"/>
      <c r="W77" s="450" t="n"/>
      <c r="Z77" s="443" t="n"/>
      <c r="AD77" s="450" t="n"/>
      <c r="AF77" s="450" t="n"/>
      <c r="AG77" s="443" t="n"/>
      <c r="AI77" s="443" t="n"/>
      <c r="AK77" s="450" t="n"/>
      <c r="AL77" s="438" t="n"/>
      <c r="AN77" s="398" t="n"/>
      <c r="AO77" s="286" t="n"/>
      <c r="AP77" s="450" t="n"/>
      <c r="AR77" s="450" t="n"/>
      <c r="AT77" s="450" t="n"/>
    </row>
    <row r="78">
      <c r="O78" s="443" t="n"/>
      <c r="P78" s="443" t="n"/>
      <c r="Q78" s="443" t="n"/>
      <c r="R78" s="450" t="n"/>
      <c r="T78" s="443" t="n"/>
      <c r="U78" s="443" t="n"/>
      <c r="V78" s="443" t="n"/>
      <c r="W78" s="450" t="n"/>
      <c r="Z78" s="443" t="n"/>
      <c r="AD78" s="450" t="n"/>
      <c r="AF78" s="450" t="n"/>
      <c r="AG78" s="443" t="n"/>
      <c r="AI78" s="443" t="n"/>
      <c r="AK78" s="450" t="n"/>
      <c r="AL78" s="438" t="n"/>
      <c r="AN78" s="398" t="n"/>
      <c r="AO78" s="286" t="n"/>
      <c r="AP78" s="450" t="n"/>
      <c r="AR78" s="450" t="n"/>
      <c r="AT78" s="450" t="n"/>
    </row>
    <row r="79">
      <c r="O79" s="443" t="n"/>
      <c r="P79" s="443" t="n"/>
      <c r="Q79" s="443" t="n"/>
      <c r="R79" s="450" t="n"/>
      <c r="T79" s="443" t="n"/>
      <c r="U79" s="443" t="n"/>
      <c r="V79" s="443" t="n"/>
      <c r="W79" s="450" t="n"/>
      <c r="Z79" s="443" t="n"/>
      <c r="AD79" s="450" t="n"/>
      <c r="AF79" s="450" t="n"/>
      <c r="AG79" s="443" t="n"/>
      <c r="AI79" s="443" t="n"/>
      <c r="AK79" s="450" t="n"/>
      <c r="AL79" s="438" t="n"/>
      <c r="AN79" s="398" t="n"/>
      <c r="AO79" s="286" t="n"/>
      <c r="AP79" s="450" t="n"/>
      <c r="AR79" s="450" t="n"/>
      <c r="AT79" s="450" t="n"/>
    </row>
    <row r="80">
      <c r="O80" s="443" t="n"/>
      <c r="P80" s="443" t="n"/>
      <c r="Q80" s="443" t="n"/>
      <c r="R80" s="450" t="n"/>
      <c r="T80" s="443" t="n"/>
      <c r="U80" s="443" t="n"/>
      <c r="V80" s="443" t="n"/>
      <c r="W80" s="450" t="n"/>
      <c r="Z80" s="443" t="n"/>
      <c r="AD80" s="450" t="n"/>
      <c r="AF80" s="450" t="n"/>
      <c r="AG80" s="443" t="n"/>
      <c r="AI80" s="443" t="n"/>
      <c r="AK80" s="450" t="n"/>
      <c r="AL80" s="438" t="n"/>
      <c r="AN80" s="398" t="n"/>
      <c r="AO80" s="286" t="n"/>
      <c r="AP80" s="450" t="n"/>
      <c r="AR80" s="450" t="n"/>
      <c r="AT80" s="450" t="n"/>
    </row>
    <row r="81">
      <c r="O81" s="443" t="n"/>
      <c r="P81" s="443" t="n"/>
      <c r="Q81" s="443" t="n"/>
      <c r="R81" s="450" t="n"/>
      <c r="T81" s="443" t="n"/>
      <c r="U81" s="443" t="n"/>
      <c r="V81" s="443" t="n"/>
      <c r="W81" s="450" t="n"/>
      <c r="Z81" s="443" t="n"/>
      <c r="AD81" s="450" t="n"/>
      <c r="AF81" s="450" t="n"/>
      <c r="AG81" s="443" t="n"/>
      <c r="AI81" s="443" t="n"/>
      <c r="AK81" s="450" t="n"/>
      <c r="AL81" s="438" t="n"/>
      <c r="AN81" s="398" t="n"/>
      <c r="AO81" s="286" t="n"/>
      <c r="AP81" s="450" t="n"/>
      <c r="AR81" s="450" t="n"/>
      <c r="AT81" s="450" t="n"/>
    </row>
    <row r="82">
      <c r="O82" s="443" t="n"/>
      <c r="P82" s="443" t="n"/>
      <c r="Q82" s="443" t="n"/>
      <c r="R82" s="450" t="n"/>
      <c r="T82" s="443" t="n"/>
      <c r="U82" s="443" t="n"/>
      <c r="V82" s="443" t="n"/>
      <c r="W82" s="450" t="n"/>
      <c r="Z82" s="443" t="n"/>
      <c r="AD82" s="450" t="n"/>
      <c r="AF82" s="450" t="n"/>
      <c r="AG82" s="443" t="n"/>
      <c r="AI82" s="443" t="n"/>
      <c r="AK82" s="450" t="n"/>
      <c r="AL82" s="438" t="n"/>
      <c r="AN82" s="398" t="n"/>
      <c r="AO82" s="286" t="n"/>
      <c r="AP82" s="450" t="n"/>
      <c r="AR82" s="450" t="n"/>
      <c r="AT82" s="450" t="n"/>
    </row>
    <row r="83">
      <c r="O83" s="443" t="n"/>
      <c r="P83" s="443" t="n"/>
      <c r="Q83" s="443" t="n"/>
      <c r="R83" s="450" t="n"/>
      <c r="T83" s="443" t="n"/>
      <c r="U83" s="443" t="n"/>
      <c r="V83" s="443" t="n"/>
      <c r="W83" s="450" t="n"/>
      <c r="Z83" s="443" t="n"/>
      <c r="AD83" s="450" t="n"/>
      <c r="AF83" s="450" t="n"/>
      <c r="AG83" s="443" t="n"/>
      <c r="AI83" s="443" t="n"/>
      <c r="AK83" s="450" t="n"/>
      <c r="AL83" s="438" t="n"/>
      <c r="AN83" s="398" t="n"/>
      <c r="AO83" s="286" t="n"/>
      <c r="AP83" s="450" t="n"/>
      <c r="AR83" s="450" t="n"/>
      <c r="AT83" s="450" t="n"/>
    </row>
    <row r="84">
      <c r="O84" s="443" t="n"/>
      <c r="P84" s="443" t="n"/>
      <c r="Q84" s="443" t="n"/>
      <c r="R84" s="450" t="n"/>
      <c r="T84" s="443" t="n"/>
      <c r="U84" s="443" t="n"/>
      <c r="V84" s="443" t="n"/>
      <c r="W84" s="450" t="n"/>
      <c r="Z84" s="443" t="n"/>
      <c r="AD84" s="450" t="n"/>
      <c r="AF84" s="450" t="n"/>
      <c r="AG84" s="443" t="n"/>
      <c r="AI84" s="443" t="n"/>
      <c r="AK84" s="450" t="n"/>
      <c r="AL84" s="438" t="n"/>
      <c r="AN84" s="398" t="n"/>
      <c r="AO84" s="286" t="n"/>
      <c r="AP84" s="450" t="n"/>
      <c r="AR84" s="450" t="n"/>
      <c r="AT84" s="450" t="n"/>
    </row>
    <row r="85">
      <c r="O85" s="443" t="n"/>
      <c r="P85" s="443" t="n"/>
      <c r="Q85" s="443" t="n"/>
      <c r="R85" s="450" t="n"/>
      <c r="T85" s="443" t="n"/>
      <c r="U85" s="443" t="n"/>
      <c r="V85" s="443" t="n"/>
      <c r="W85" s="450" t="n"/>
      <c r="Z85" s="443" t="n"/>
      <c r="AD85" s="450" t="n"/>
      <c r="AF85" s="450" t="n"/>
      <c r="AG85" s="443" t="n"/>
      <c r="AI85" s="443" t="n"/>
      <c r="AK85" s="450" t="n"/>
      <c r="AL85" s="438" t="n"/>
      <c r="AN85" s="398" t="n"/>
      <c r="AO85" s="286" t="n"/>
      <c r="AP85" s="450" t="n"/>
      <c r="AR85" s="450" t="n"/>
      <c r="AT85" s="450" t="n"/>
    </row>
    <row r="86">
      <c r="O86" s="443" t="n"/>
      <c r="P86" s="443" t="n"/>
      <c r="Q86" s="443" t="n"/>
      <c r="R86" s="450" t="n"/>
      <c r="T86" s="443" t="n"/>
      <c r="U86" s="443" t="n"/>
      <c r="V86" s="443" t="n"/>
      <c r="W86" s="450" t="n"/>
      <c r="Z86" s="443" t="n"/>
      <c r="AD86" s="450" t="n"/>
      <c r="AF86" s="450" t="n"/>
      <c r="AG86" s="443" t="n"/>
      <c r="AI86" s="443" t="n"/>
      <c r="AK86" s="450" t="n"/>
      <c r="AL86" s="438" t="n"/>
      <c r="AN86" s="398" t="n"/>
      <c r="AO86" s="286" t="n"/>
      <c r="AP86" s="450" t="n"/>
      <c r="AR86" s="450" t="n"/>
      <c r="AT86" s="450" t="n"/>
    </row>
    <row r="87">
      <c r="O87" s="443" t="n"/>
      <c r="P87" s="443" t="n"/>
      <c r="Q87" s="443" t="n"/>
      <c r="R87" s="450" t="n"/>
      <c r="T87" s="443" t="n"/>
      <c r="U87" s="443" t="n"/>
      <c r="V87" s="443" t="n"/>
      <c r="W87" s="450" t="n"/>
      <c r="Z87" s="443" t="n"/>
      <c r="AD87" s="450" t="n"/>
      <c r="AF87" s="450" t="n"/>
      <c r="AG87" s="443" t="n"/>
      <c r="AI87" s="443" t="n"/>
      <c r="AK87" s="450" t="n"/>
      <c r="AL87" s="438" t="n"/>
      <c r="AN87" s="398" t="n"/>
      <c r="AO87" s="286" t="n"/>
      <c r="AP87" s="450" t="n"/>
      <c r="AR87" s="450" t="n"/>
      <c r="AT87" s="450" t="n"/>
    </row>
    <row r="88">
      <c r="O88" s="443" t="n"/>
      <c r="P88" s="443" t="n"/>
      <c r="Q88" s="443" t="n"/>
      <c r="R88" s="450" t="n"/>
      <c r="T88" s="443" t="n"/>
      <c r="U88" s="443" t="n"/>
      <c r="V88" s="443" t="n"/>
      <c r="W88" s="450" t="n"/>
      <c r="Z88" s="443" t="n"/>
      <c r="AD88" s="450" t="n"/>
      <c r="AF88" s="450" t="n"/>
      <c r="AG88" s="443" t="n"/>
      <c r="AI88" s="443" t="n"/>
      <c r="AK88" s="450" t="n"/>
      <c r="AL88" s="438" t="n"/>
      <c r="AN88" s="398" t="n"/>
      <c r="AO88" s="286" t="n"/>
      <c r="AP88" s="450" t="n"/>
      <c r="AR88" s="450" t="n"/>
      <c r="AT88" s="450" t="n"/>
    </row>
    <row r="89">
      <c r="O89" s="443" t="n"/>
      <c r="P89" s="443" t="n"/>
      <c r="Q89" s="443" t="n"/>
      <c r="R89" s="450" t="n"/>
      <c r="T89" s="443" t="n"/>
      <c r="U89" s="443" t="n"/>
      <c r="V89" s="443" t="n"/>
      <c r="W89" s="450" t="n"/>
      <c r="Z89" s="443" t="n"/>
      <c r="AD89" s="450" t="n"/>
      <c r="AF89" s="450" t="n"/>
      <c r="AG89" s="443" t="n"/>
      <c r="AI89" s="443" t="n"/>
      <c r="AK89" s="450" t="n"/>
      <c r="AL89" s="438" t="n"/>
      <c r="AN89" s="398" t="n"/>
      <c r="AO89" s="286" t="n"/>
      <c r="AP89" s="450" t="n"/>
      <c r="AR89" s="450" t="n"/>
      <c r="AT89" s="450" t="n"/>
    </row>
    <row r="90">
      <c r="O90" s="443" t="n"/>
      <c r="P90" s="443" t="n"/>
      <c r="Q90" s="443" t="n"/>
      <c r="R90" s="450" t="n"/>
      <c r="T90" s="443" t="n"/>
      <c r="U90" s="443" t="n"/>
      <c r="V90" s="443" t="n"/>
      <c r="W90" s="450" t="n"/>
      <c r="Z90" s="443" t="n"/>
      <c r="AD90" s="450" t="n"/>
      <c r="AF90" s="450" t="n"/>
      <c r="AG90" s="443" t="n"/>
      <c r="AI90" s="443" t="n"/>
      <c r="AK90" s="450" t="n"/>
      <c r="AL90" s="438" t="n"/>
      <c r="AN90" s="398" t="n"/>
      <c r="AO90" s="286" t="n"/>
      <c r="AP90" s="450" t="n"/>
      <c r="AR90" s="450" t="n"/>
      <c r="AT90" s="450" t="n"/>
    </row>
    <row r="91">
      <c r="O91" s="443" t="n"/>
      <c r="P91" s="443" t="n"/>
      <c r="Q91" s="443" t="n"/>
      <c r="R91" s="450" t="n"/>
      <c r="T91" s="443" t="n"/>
      <c r="U91" s="443" t="n"/>
      <c r="V91" s="443" t="n"/>
      <c r="W91" s="450" t="n"/>
      <c r="Z91" s="443" t="n"/>
      <c r="AD91" s="450" t="n"/>
      <c r="AF91" s="450" t="n"/>
      <c r="AG91" s="443" t="n"/>
      <c r="AI91" s="443" t="n"/>
      <c r="AK91" s="450" t="n"/>
      <c r="AL91" s="438" t="n"/>
      <c r="AN91" s="398" t="n"/>
      <c r="AO91" s="286" t="n"/>
      <c r="AP91" s="450" t="n"/>
      <c r="AR91" s="450" t="n"/>
      <c r="AT91" s="450" t="n"/>
    </row>
    <row r="92">
      <c r="O92" s="443" t="n"/>
      <c r="P92" s="443" t="n"/>
      <c r="Q92" s="443" t="n"/>
      <c r="R92" s="450" t="n"/>
      <c r="T92" s="443" t="n"/>
      <c r="U92" s="443" t="n"/>
      <c r="V92" s="443" t="n"/>
      <c r="W92" s="450" t="n"/>
      <c r="Z92" s="443" t="n"/>
      <c r="AD92" s="450" t="n"/>
      <c r="AF92" s="450" t="n"/>
      <c r="AG92" s="443" t="n"/>
      <c r="AI92" s="443" t="n"/>
      <c r="AK92" s="450" t="n"/>
      <c r="AL92" s="438" t="n"/>
      <c r="AN92" s="398" t="n"/>
      <c r="AO92" s="286" t="n"/>
      <c r="AP92" s="450" t="n"/>
      <c r="AR92" s="450" t="n"/>
      <c r="AT92" s="450" t="n"/>
    </row>
    <row r="93">
      <c r="O93" s="443" t="n"/>
      <c r="P93" s="443" t="n"/>
      <c r="Q93" s="443" t="n"/>
      <c r="R93" s="450" t="n"/>
      <c r="T93" s="443" t="n"/>
      <c r="U93" s="443" t="n"/>
      <c r="V93" s="443" t="n"/>
      <c r="W93" s="450" t="n"/>
      <c r="Z93" s="443" t="n"/>
      <c r="AD93" s="450" t="n"/>
      <c r="AF93" s="450" t="n"/>
      <c r="AG93" s="443" t="n"/>
      <c r="AI93" s="443" t="n"/>
      <c r="AK93" s="450" t="n"/>
      <c r="AL93" s="438" t="n"/>
      <c r="AN93" s="398" t="n"/>
      <c r="AO93" s="286" t="n"/>
      <c r="AP93" s="450" t="n"/>
      <c r="AR93" s="450" t="n"/>
      <c r="AT93" s="450" t="n"/>
    </row>
    <row r="94">
      <c r="O94" s="443" t="n"/>
      <c r="P94" s="443" t="n"/>
      <c r="Q94" s="443" t="n"/>
      <c r="R94" s="450" t="n"/>
      <c r="T94" s="443" t="n"/>
      <c r="U94" s="443" t="n"/>
      <c r="V94" s="443" t="n"/>
      <c r="W94" s="450" t="n"/>
      <c r="Z94" s="443" t="n"/>
      <c r="AD94" s="450" t="n"/>
      <c r="AF94" s="450" t="n"/>
      <c r="AG94" s="443" t="n"/>
      <c r="AI94" s="443" t="n"/>
      <c r="AK94" s="450" t="n"/>
      <c r="AL94" s="438" t="n"/>
      <c r="AN94" s="398" t="n"/>
      <c r="AO94" s="286" t="n"/>
      <c r="AP94" s="450" t="n"/>
      <c r="AR94" s="450" t="n"/>
      <c r="AT94" s="450" t="n"/>
    </row>
    <row r="95">
      <c r="O95" s="443" t="n"/>
      <c r="P95" s="443" t="n"/>
      <c r="Q95" s="443" t="n"/>
      <c r="R95" s="450" t="n"/>
      <c r="T95" s="443" t="n"/>
      <c r="U95" s="443" t="n"/>
      <c r="V95" s="443" t="n"/>
      <c r="W95" s="450" t="n"/>
      <c r="Z95" s="443" t="n"/>
      <c r="AD95" s="450" t="n"/>
      <c r="AF95" s="450" t="n"/>
      <c r="AG95" s="443" t="n"/>
      <c r="AI95" s="443" t="n"/>
      <c r="AK95" s="450" t="n"/>
      <c r="AL95" s="438" t="n"/>
      <c r="AN95" s="398" t="n"/>
      <c r="AO95" s="286" t="n"/>
      <c r="AP95" s="450" t="n"/>
      <c r="AR95" s="450" t="n"/>
      <c r="AT95" s="450" t="n"/>
    </row>
    <row r="96">
      <c r="O96" s="443" t="n"/>
      <c r="P96" s="443" t="n"/>
      <c r="Q96" s="443" t="n"/>
      <c r="R96" s="450" t="n"/>
      <c r="T96" s="443" t="n"/>
      <c r="U96" s="443" t="n"/>
      <c r="V96" s="443" t="n"/>
      <c r="W96" s="450" t="n"/>
      <c r="Z96" s="443" t="n"/>
      <c r="AD96" s="450" t="n"/>
      <c r="AF96" s="450" t="n"/>
      <c r="AG96" s="443" t="n"/>
      <c r="AI96" s="443" t="n"/>
      <c r="AK96" s="450" t="n"/>
      <c r="AL96" s="438" t="n"/>
      <c r="AN96" s="398" t="n"/>
      <c r="AO96" s="286" t="n"/>
      <c r="AP96" s="450" t="n"/>
      <c r="AR96" s="450" t="n"/>
      <c r="AT96" s="450" t="n"/>
    </row>
    <row r="97">
      <c r="O97" s="443" t="n"/>
      <c r="P97" s="443" t="n"/>
      <c r="Q97" s="443" t="n"/>
      <c r="R97" s="450" t="n"/>
      <c r="T97" s="443" t="n"/>
      <c r="U97" s="443" t="n"/>
      <c r="V97" s="443" t="n"/>
      <c r="W97" s="450" t="n"/>
      <c r="Z97" s="443" t="n"/>
      <c r="AD97" s="450" t="n"/>
      <c r="AF97" s="450" t="n"/>
      <c r="AG97" s="443" t="n"/>
      <c r="AI97" s="443" t="n"/>
      <c r="AK97" s="450" t="n"/>
      <c r="AL97" s="438" t="n"/>
      <c r="AN97" s="398" t="n"/>
      <c r="AO97" s="286" t="n"/>
      <c r="AP97" s="450" t="n"/>
      <c r="AR97" s="450" t="n"/>
      <c r="AT97" s="450" t="n"/>
    </row>
    <row r="98">
      <c r="O98" s="443" t="n"/>
      <c r="P98" s="443" t="n"/>
      <c r="Q98" s="443" t="n"/>
      <c r="R98" s="450" t="n"/>
      <c r="T98" s="443" t="n"/>
      <c r="U98" s="443" t="n"/>
      <c r="V98" s="443" t="n"/>
      <c r="W98" s="450" t="n"/>
      <c r="Z98" s="443" t="n"/>
      <c r="AD98" s="450" t="n"/>
      <c r="AF98" s="450" t="n"/>
      <c r="AG98" s="443" t="n"/>
      <c r="AI98" s="443" t="n"/>
      <c r="AK98" s="450" t="n"/>
      <c r="AL98" s="438" t="n"/>
      <c r="AN98" s="398" t="n"/>
      <c r="AO98" s="286" t="n"/>
      <c r="AP98" s="450" t="n"/>
      <c r="AR98" s="450" t="n"/>
      <c r="AT98" s="450" t="n"/>
    </row>
    <row r="99">
      <c r="O99" s="443" t="n"/>
      <c r="P99" s="443" t="n"/>
      <c r="Q99" s="443" t="n"/>
      <c r="R99" s="450" t="n"/>
      <c r="T99" s="443" t="n"/>
      <c r="U99" s="443" t="n"/>
      <c r="V99" s="443" t="n"/>
      <c r="W99" s="450" t="n"/>
      <c r="Z99" s="443" t="n"/>
      <c r="AD99" s="450" t="n"/>
      <c r="AF99" s="450" t="n"/>
      <c r="AG99" s="443" t="n"/>
      <c r="AI99" s="443" t="n"/>
      <c r="AK99" s="450" t="n"/>
      <c r="AL99" s="438" t="n"/>
      <c r="AN99" s="398" t="n"/>
      <c r="AO99" s="286" t="n"/>
      <c r="AP99" s="450" t="n"/>
      <c r="AR99" s="450" t="n"/>
      <c r="AT99" s="450" t="n"/>
    </row>
    <row r="100">
      <c r="O100" s="443" t="n"/>
      <c r="P100" s="443" t="n"/>
      <c r="Q100" s="443" t="n"/>
      <c r="R100" s="450" t="n"/>
      <c r="T100" s="443" t="n"/>
      <c r="U100" s="443" t="n"/>
      <c r="V100" s="443" t="n"/>
      <c r="W100" s="450" t="n"/>
      <c r="Z100" s="443" t="n"/>
      <c r="AD100" s="450" t="n"/>
      <c r="AF100" s="450" t="n"/>
      <c r="AG100" s="443" t="n"/>
      <c r="AI100" s="443" t="n"/>
      <c r="AK100" s="450" t="n"/>
      <c r="AL100" s="438" t="n"/>
      <c r="AN100" s="398" t="n"/>
      <c r="AO100" s="286" t="n"/>
      <c r="AP100" s="450" t="n"/>
      <c r="AR100" s="450" t="n"/>
      <c r="AT100" s="450" t="n"/>
    </row>
    <row r="101">
      <c r="O101" s="443" t="n"/>
      <c r="P101" s="443" t="n"/>
      <c r="Q101" s="443" t="n"/>
      <c r="R101" s="450" t="n"/>
      <c r="T101" s="443" t="n"/>
      <c r="U101" s="443" t="n"/>
      <c r="V101" s="443" t="n"/>
      <c r="W101" s="450" t="n"/>
      <c r="Z101" s="443" t="n"/>
      <c r="AD101" s="450" t="n"/>
      <c r="AF101" s="450" t="n"/>
      <c r="AG101" s="443" t="n"/>
      <c r="AI101" s="443" t="n"/>
      <c r="AK101" s="450" t="n"/>
      <c r="AL101" s="438" t="n"/>
      <c r="AN101" s="398" t="n"/>
      <c r="AO101" s="286" t="n"/>
      <c r="AP101" s="450" t="n"/>
      <c r="AR101" s="450" t="n"/>
      <c r="AT101" s="450" t="n"/>
    </row>
    <row r="102">
      <c r="O102" s="443" t="n"/>
      <c r="P102" s="443" t="n"/>
      <c r="Q102" s="443" t="n"/>
      <c r="R102" s="450" t="n"/>
      <c r="T102" s="443" t="n"/>
      <c r="U102" s="443" t="n"/>
      <c r="V102" s="443" t="n"/>
      <c r="W102" s="450" t="n"/>
      <c r="Z102" s="443" t="n"/>
      <c r="AD102" s="450" t="n"/>
      <c r="AF102" s="450" t="n"/>
      <c r="AG102" s="443" t="n"/>
      <c r="AI102" s="443" t="n"/>
      <c r="AK102" s="450" t="n"/>
      <c r="AL102" s="438" t="n"/>
      <c r="AN102" s="398" t="n"/>
      <c r="AO102" s="286" t="n"/>
      <c r="AP102" s="450" t="n"/>
      <c r="AR102" s="450" t="n"/>
      <c r="AT102" s="450" t="n"/>
    </row>
    <row r="103">
      <c r="O103" s="443" t="n"/>
      <c r="P103" s="443" t="n"/>
      <c r="Q103" s="443" t="n"/>
      <c r="R103" s="450" t="n"/>
      <c r="T103" s="443" t="n"/>
      <c r="U103" s="443" t="n"/>
      <c r="V103" s="443" t="n"/>
      <c r="W103" s="450" t="n"/>
      <c r="Z103" s="443" t="n"/>
      <c r="AD103" s="450" t="n"/>
      <c r="AF103" s="450" t="n"/>
      <c r="AG103" s="443" t="n"/>
      <c r="AI103" s="443" t="n"/>
      <c r="AK103" s="450" t="n"/>
      <c r="AL103" s="438" t="n"/>
      <c r="AN103" s="398" t="n"/>
      <c r="AO103" s="286" t="n"/>
      <c r="AP103" s="450" t="n"/>
      <c r="AR103" s="450" t="n"/>
      <c r="AT103" s="450" t="n"/>
    </row>
    <row r="104">
      <c r="O104" s="443" t="n"/>
      <c r="P104" s="443" t="n"/>
      <c r="Q104" s="443" t="n"/>
      <c r="R104" s="450" t="n"/>
      <c r="T104" s="443" t="n"/>
      <c r="U104" s="443" t="n"/>
      <c r="V104" s="443" t="n"/>
      <c r="W104" s="450" t="n"/>
      <c r="Z104" s="443" t="n"/>
      <c r="AD104" s="450" t="n"/>
      <c r="AF104" s="450" t="n"/>
      <c r="AG104" s="443" t="n"/>
      <c r="AI104" s="443" t="n"/>
      <c r="AK104" s="450" t="n"/>
      <c r="AL104" s="438" t="n"/>
      <c r="AN104" s="398" t="n"/>
      <c r="AO104" s="286" t="n"/>
      <c r="AP104" s="450" t="n"/>
      <c r="AR104" s="450" t="n"/>
      <c r="AT104" s="450" t="n"/>
    </row>
    <row r="105">
      <c r="O105" s="443" t="n"/>
      <c r="P105" s="443" t="n"/>
      <c r="Q105" s="443" t="n"/>
      <c r="R105" s="450" t="n"/>
      <c r="T105" s="443" t="n"/>
      <c r="U105" s="443" t="n"/>
      <c r="V105" s="443" t="n"/>
      <c r="W105" s="450" t="n"/>
      <c r="Z105" s="443" t="n"/>
      <c r="AD105" s="450" t="n"/>
      <c r="AF105" s="450" t="n"/>
      <c r="AG105" s="443" t="n"/>
      <c r="AI105" s="443" t="n"/>
      <c r="AK105" s="450" t="n"/>
      <c r="AL105" s="438" t="n"/>
      <c r="AN105" s="398" t="n"/>
      <c r="AO105" s="286" t="n"/>
      <c r="AP105" s="450" t="n"/>
      <c r="AR105" s="450" t="n"/>
      <c r="AT105" s="450" t="n"/>
    </row>
    <row r="106">
      <c r="O106" s="443" t="n"/>
      <c r="P106" s="443" t="n"/>
      <c r="Q106" s="443" t="n"/>
      <c r="R106" s="450" t="n"/>
      <c r="T106" s="443" t="n"/>
      <c r="U106" s="443" t="n"/>
      <c r="V106" s="443" t="n"/>
      <c r="W106" s="450" t="n"/>
      <c r="Z106" s="443" t="n"/>
      <c r="AD106" s="450" t="n"/>
      <c r="AF106" s="450" t="n"/>
      <c r="AG106" s="443" t="n"/>
      <c r="AI106" s="443" t="n"/>
      <c r="AK106" s="450" t="n"/>
      <c r="AL106" s="438" t="n"/>
      <c r="AN106" s="398" t="n"/>
      <c r="AO106" s="286" t="n"/>
      <c r="AP106" s="450" t="n"/>
      <c r="AR106" s="450" t="n"/>
      <c r="AT106" s="450" t="n"/>
    </row>
    <row r="107">
      <c r="O107" s="443" t="n"/>
      <c r="P107" s="443" t="n"/>
      <c r="Q107" s="443" t="n"/>
      <c r="R107" s="450" t="n"/>
      <c r="T107" s="443" t="n"/>
      <c r="U107" s="443" t="n"/>
      <c r="V107" s="443" t="n"/>
      <c r="W107" s="450" t="n"/>
      <c r="Z107" s="443" t="n"/>
      <c r="AD107" s="450" t="n"/>
      <c r="AF107" s="450" t="n"/>
      <c r="AG107" s="443" t="n"/>
      <c r="AI107" s="443" t="n"/>
      <c r="AK107" s="450" t="n"/>
      <c r="AL107" s="438" t="n"/>
      <c r="AN107" s="398" t="n"/>
      <c r="AO107" s="286" t="n"/>
      <c r="AP107" s="450" t="n"/>
      <c r="AR107" s="450" t="n"/>
      <c r="AT107" s="450" t="n"/>
    </row>
    <row r="108">
      <c r="O108" s="443" t="n"/>
      <c r="P108" s="443" t="n"/>
      <c r="Q108" s="443" t="n"/>
      <c r="R108" s="450" t="n"/>
      <c r="T108" s="443" t="n"/>
      <c r="U108" s="443" t="n"/>
      <c r="V108" s="443" t="n"/>
      <c r="W108" s="450" t="n"/>
      <c r="Z108" s="443" t="n"/>
      <c r="AD108" s="450" t="n"/>
      <c r="AF108" s="450" t="n"/>
      <c r="AG108" s="443" t="n"/>
      <c r="AI108" s="443" t="n"/>
      <c r="AK108" s="450" t="n"/>
      <c r="AL108" s="438" t="n"/>
      <c r="AN108" s="398" t="n"/>
      <c r="AO108" s="286" t="n"/>
      <c r="AP108" s="450" t="n"/>
      <c r="AR108" s="450" t="n"/>
      <c r="AT108" s="450" t="n"/>
    </row>
    <row r="109">
      <c r="O109" s="443" t="n"/>
      <c r="P109" s="443" t="n"/>
      <c r="Q109" s="443" t="n"/>
      <c r="R109" s="450" t="n"/>
      <c r="T109" s="443" t="n"/>
      <c r="U109" s="443" t="n"/>
      <c r="V109" s="443" t="n"/>
      <c r="W109" s="450" t="n"/>
      <c r="Z109" s="443" t="n"/>
      <c r="AD109" s="450" t="n"/>
      <c r="AF109" s="450" t="n"/>
      <c r="AG109" s="443" t="n"/>
      <c r="AI109" s="443" t="n"/>
      <c r="AK109" s="450" t="n"/>
      <c r="AL109" s="438" t="n"/>
      <c r="AN109" s="398" t="n"/>
      <c r="AO109" s="286" t="n"/>
      <c r="AP109" s="450" t="n"/>
      <c r="AR109" s="450" t="n"/>
      <c r="AT109" s="450" t="n"/>
    </row>
    <row r="110">
      <c r="O110" s="443" t="n"/>
      <c r="P110" s="443" t="n"/>
      <c r="Q110" s="443" t="n"/>
      <c r="R110" s="450" t="n"/>
      <c r="T110" s="443" t="n"/>
      <c r="U110" s="443" t="n"/>
      <c r="V110" s="443" t="n"/>
      <c r="W110" s="450" t="n"/>
      <c r="Z110" s="443" t="n"/>
      <c r="AD110" s="450" t="n"/>
      <c r="AF110" s="450" t="n"/>
      <c r="AG110" s="443" t="n"/>
      <c r="AI110" s="443" t="n"/>
      <c r="AK110" s="450" t="n"/>
      <c r="AL110" s="438" t="n"/>
      <c r="AN110" s="398" t="n"/>
      <c r="AO110" s="286" t="n"/>
      <c r="AP110" s="450" t="n"/>
      <c r="AR110" s="450" t="n"/>
      <c r="AT110" s="450" t="n"/>
    </row>
    <row r="111">
      <c r="O111" s="443" t="n"/>
      <c r="P111" s="443" t="n"/>
      <c r="Q111" s="443" t="n"/>
      <c r="R111" s="450" t="n"/>
      <c r="T111" s="443" t="n"/>
      <c r="U111" s="443" t="n"/>
      <c r="V111" s="443" t="n"/>
      <c r="W111" s="450" t="n"/>
      <c r="Z111" s="443" t="n"/>
      <c r="AD111" s="450" t="n"/>
      <c r="AF111" s="450" t="n"/>
      <c r="AG111" s="443" t="n"/>
      <c r="AI111" s="443" t="n"/>
      <c r="AK111" s="450" t="n"/>
      <c r="AL111" s="438" t="n"/>
      <c r="AN111" s="398" t="n"/>
      <c r="AO111" s="286" t="n"/>
      <c r="AP111" s="450" t="n"/>
      <c r="AR111" s="450" t="n"/>
      <c r="AT111" s="450" t="n"/>
    </row>
    <row r="112">
      <c r="O112" s="443" t="n"/>
      <c r="P112" s="443" t="n"/>
      <c r="Q112" s="443" t="n"/>
      <c r="R112" s="450" t="n"/>
      <c r="T112" s="443" t="n"/>
      <c r="U112" s="443" t="n"/>
      <c r="V112" s="443" t="n"/>
      <c r="W112" s="450" t="n"/>
      <c r="Z112" s="443" t="n"/>
      <c r="AD112" s="450" t="n"/>
      <c r="AF112" s="450" t="n"/>
      <c r="AG112" s="443" t="n"/>
      <c r="AI112" s="443" t="n"/>
      <c r="AK112" s="450" t="n"/>
      <c r="AL112" s="438" t="n"/>
      <c r="AN112" s="398" t="n"/>
      <c r="AO112" s="286" t="n"/>
      <c r="AP112" s="450" t="n"/>
      <c r="AR112" s="450" t="n"/>
      <c r="AT112" s="450" t="n"/>
    </row>
    <row r="113">
      <c r="O113" s="443" t="n"/>
      <c r="P113" s="443" t="n"/>
      <c r="Q113" s="443" t="n"/>
      <c r="R113" s="450" t="n"/>
      <c r="T113" s="443" t="n"/>
      <c r="U113" s="443" t="n"/>
      <c r="V113" s="443" t="n"/>
      <c r="W113" s="450" t="n"/>
      <c r="Z113" s="443" t="n"/>
      <c r="AD113" s="450" t="n"/>
      <c r="AF113" s="450" t="n"/>
      <c r="AG113" s="443" t="n"/>
      <c r="AI113" s="443" t="n"/>
      <c r="AK113" s="450" t="n"/>
      <c r="AL113" s="438" t="n"/>
      <c r="AN113" s="398" t="n"/>
      <c r="AO113" s="286" t="n"/>
      <c r="AP113" s="450" t="n"/>
      <c r="AR113" s="450" t="n"/>
      <c r="AT113" s="450" t="n"/>
    </row>
    <row r="114">
      <c r="O114" s="443" t="n"/>
      <c r="P114" s="443" t="n"/>
      <c r="Q114" s="443" t="n"/>
      <c r="R114" s="450" t="n"/>
      <c r="T114" s="443" t="n"/>
      <c r="U114" s="443" t="n"/>
      <c r="V114" s="443" t="n"/>
      <c r="W114" s="450" t="n"/>
      <c r="Z114" s="443" t="n"/>
      <c r="AD114" s="450" t="n"/>
      <c r="AF114" s="450" t="n"/>
      <c r="AG114" s="443" t="n"/>
      <c r="AI114" s="443" t="n"/>
      <c r="AK114" s="450" t="n"/>
      <c r="AL114" s="438" t="n"/>
      <c r="AN114" s="398" t="n"/>
      <c r="AO114" s="286" t="n"/>
      <c r="AP114" s="450" t="n"/>
      <c r="AR114" s="450" t="n"/>
      <c r="AT114" s="450" t="n"/>
    </row>
    <row r="115">
      <c r="O115" s="443" t="n"/>
      <c r="P115" s="443" t="n"/>
      <c r="Q115" s="443" t="n"/>
      <c r="R115" s="450" t="n"/>
      <c r="T115" s="443" t="n"/>
      <c r="U115" s="443" t="n"/>
      <c r="V115" s="443" t="n"/>
      <c r="W115" s="450" t="n"/>
      <c r="Z115" s="443" t="n"/>
      <c r="AD115" s="450" t="n"/>
      <c r="AF115" s="450" t="n"/>
      <c r="AG115" s="443" t="n"/>
      <c r="AI115" s="443" t="n"/>
      <c r="AK115" s="450" t="n"/>
      <c r="AL115" s="438" t="n"/>
      <c r="AN115" s="398" t="n"/>
      <c r="AO115" s="286" t="n"/>
      <c r="AP115" s="450" t="n"/>
      <c r="AR115" s="450" t="n"/>
      <c r="AT115" s="450" t="n"/>
    </row>
    <row r="116">
      <c r="O116" s="443" t="n"/>
      <c r="P116" s="443" t="n"/>
      <c r="Q116" s="443" t="n"/>
      <c r="R116" s="450" t="n"/>
      <c r="T116" s="443" t="n"/>
      <c r="U116" s="443" t="n"/>
      <c r="V116" s="443" t="n"/>
      <c r="W116" s="450" t="n"/>
      <c r="Z116" s="443" t="n"/>
      <c r="AD116" s="450" t="n"/>
      <c r="AF116" s="450" t="n"/>
      <c r="AG116" s="443" t="n"/>
      <c r="AI116" s="443" t="n"/>
      <c r="AK116" s="450" t="n"/>
      <c r="AL116" s="438" t="n"/>
      <c r="AN116" s="398" t="n"/>
      <c r="AO116" s="286" t="n"/>
      <c r="AP116" s="450" t="n"/>
      <c r="AR116" s="450" t="n"/>
      <c r="AT116" s="450" t="n"/>
    </row>
    <row r="117">
      <c r="O117" s="443" t="n"/>
      <c r="P117" s="443" t="n"/>
      <c r="Q117" s="443" t="n"/>
      <c r="R117" s="450" t="n"/>
      <c r="T117" s="443" t="n"/>
      <c r="U117" s="443" t="n"/>
      <c r="V117" s="443" t="n"/>
      <c r="W117" s="450" t="n"/>
      <c r="Z117" s="443" t="n"/>
      <c r="AD117" s="450" t="n"/>
      <c r="AF117" s="450" t="n"/>
      <c r="AG117" s="443" t="n"/>
      <c r="AI117" s="443" t="n"/>
      <c r="AK117" s="450" t="n"/>
      <c r="AL117" s="438" t="n"/>
      <c r="AN117" s="398" t="n"/>
      <c r="AO117" s="286" t="n"/>
      <c r="AP117" s="450" t="n"/>
      <c r="AR117" s="450" t="n"/>
      <c r="AT117" s="450" t="n"/>
    </row>
    <row r="118">
      <c r="O118" s="443" t="n"/>
      <c r="P118" s="443" t="n"/>
      <c r="Q118" s="443" t="n"/>
      <c r="R118" s="450" t="n"/>
      <c r="T118" s="443" t="n"/>
      <c r="U118" s="443" t="n"/>
      <c r="V118" s="443" t="n"/>
      <c r="W118" s="450" t="n"/>
      <c r="Z118" s="443" t="n"/>
      <c r="AD118" s="450" t="n"/>
      <c r="AF118" s="450" t="n"/>
      <c r="AG118" s="443" t="n"/>
      <c r="AI118" s="443" t="n"/>
      <c r="AK118" s="450" t="n"/>
      <c r="AL118" s="438" t="n"/>
      <c r="AN118" s="398" t="n"/>
      <c r="AO118" s="286" t="n"/>
      <c r="AP118" s="450" t="n"/>
      <c r="AR118" s="450" t="n"/>
      <c r="AT118" s="450" t="n"/>
    </row>
    <row r="119">
      <c r="O119" s="443" t="n"/>
      <c r="P119" s="443" t="n"/>
      <c r="Q119" s="443" t="n"/>
      <c r="R119" s="450" t="n"/>
      <c r="T119" s="443" t="n"/>
      <c r="U119" s="443" t="n"/>
      <c r="V119" s="443" t="n"/>
      <c r="W119" s="450" t="n"/>
      <c r="Z119" s="443" t="n"/>
      <c r="AD119" s="450" t="n"/>
      <c r="AF119" s="450" t="n"/>
      <c r="AG119" s="443" t="n"/>
      <c r="AI119" s="443" t="n"/>
      <c r="AK119" s="450" t="n"/>
      <c r="AL119" s="438" t="n"/>
      <c r="AN119" s="398" t="n"/>
      <c r="AO119" s="286" t="n"/>
      <c r="AP119" s="450" t="n"/>
      <c r="AR119" s="450" t="n"/>
      <c r="AT119" s="450" t="n"/>
    </row>
    <row r="120">
      <c r="O120" s="443" t="n"/>
      <c r="P120" s="443" t="n"/>
      <c r="Q120" s="443" t="n"/>
      <c r="R120" s="450" t="n"/>
      <c r="T120" s="443" t="n"/>
      <c r="U120" s="443" t="n"/>
      <c r="V120" s="443" t="n"/>
      <c r="W120" s="450" t="n"/>
      <c r="Z120" s="443" t="n"/>
      <c r="AD120" s="450" t="n"/>
      <c r="AF120" s="450" t="n"/>
      <c r="AG120" s="443" t="n"/>
      <c r="AI120" s="443" t="n"/>
      <c r="AK120" s="450" t="n"/>
      <c r="AL120" s="438" t="n"/>
      <c r="AN120" s="398" t="n"/>
      <c r="AO120" s="286" t="n"/>
      <c r="AP120" s="450" t="n"/>
      <c r="AR120" s="450" t="n"/>
      <c r="AT120" s="450" t="n"/>
    </row>
    <row r="121">
      <c r="O121" s="443" t="n"/>
      <c r="P121" s="443" t="n"/>
      <c r="Q121" s="443" t="n"/>
      <c r="R121" s="450" t="n"/>
      <c r="T121" s="443" t="n"/>
      <c r="U121" s="443" t="n"/>
      <c r="V121" s="443" t="n"/>
      <c r="W121" s="450" t="n"/>
      <c r="Z121" s="443" t="n"/>
      <c r="AD121" s="450" t="n"/>
      <c r="AF121" s="450" t="n"/>
      <c r="AG121" s="443" t="n"/>
      <c r="AI121" s="443" t="n"/>
      <c r="AK121" s="450" t="n"/>
      <c r="AL121" s="438" t="n"/>
      <c r="AN121" s="398" t="n"/>
      <c r="AO121" s="286" t="n"/>
      <c r="AP121" s="450" t="n"/>
      <c r="AR121" s="450" t="n"/>
      <c r="AT121" s="450" t="n"/>
    </row>
    <row r="122">
      <c r="O122" s="443" t="n"/>
      <c r="P122" s="443" t="n"/>
      <c r="Q122" s="443" t="n"/>
      <c r="R122" s="450" t="n"/>
      <c r="T122" s="443" t="n"/>
      <c r="U122" s="443" t="n"/>
      <c r="V122" s="443" t="n"/>
      <c r="W122" s="450" t="n"/>
      <c r="Z122" s="443" t="n"/>
      <c r="AD122" s="450" t="n"/>
      <c r="AF122" s="450" t="n"/>
      <c r="AG122" s="443" t="n"/>
      <c r="AI122" s="443" t="n"/>
      <c r="AK122" s="450" t="n"/>
      <c r="AL122" s="438" t="n"/>
      <c r="AN122" s="398" t="n"/>
      <c r="AO122" s="286" t="n"/>
      <c r="AP122" s="450" t="n"/>
      <c r="AR122" s="450" t="n"/>
      <c r="AT122" s="450" t="n"/>
    </row>
    <row r="123">
      <c r="O123" s="443" t="n"/>
      <c r="P123" s="443" t="n"/>
      <c r="Q123" s="443" t="n"/>
      <c r="R123" s="450" t="n"/>
      <c r="T123" s="443" t="n"/>
      <c r="U123" s="443" t="n"/>
      <c r="V123" s="443" t="n"/>
      <c r="W123" s="450" t="n"/>
      <c r="Z123" s="443" t="n"/>
      <c r="AD123" s="450" t="n"/>
      <c r="AF123" s="450" t="n"/>
      <c r="AG123" s="443" t="n"/>
      <c r="AI123" s="443" t="n"/>
      <c r="AK123" s="450" t="n"/>
      <c r="AL123" s="438" t="n"/>
      <c r="AN123" s="398" t="n"/>
      <c r="AO123" s="286" t="n"/>
      <c r="AP123" s="450" t="n"/>
      <c r="AR123" s="450" t="n"/>
      <c r="AT123" s="450" t="n"/>
    </row>
    <row r="124">
      <c r="O124" s="443" t="n"/>
      <c r="P124" s="443" t="n"/>
      <c r="Q124" s="443" t="n"/>
      <c r="R124" s="450" t="n"/>
      <c r="T124" s="443" t="n"/>
      <c r="U124" s="443" t="n"/>
      <c r="V124" s="443" t="n"/>
      <c r="W124" s="450" t="n"/>
      <c r="Z124" s="443" t="n"/>
      <c r="AD124" s="450" t="n"/>
      <c r="AF124" s="450" t="n"/>
      <c r="AG124" s="443" t="n"/>
      <c r="AI124" s="443" t="n"/>
      <c r="AK124" s="450" t="n"/>
      <c r="AL124" s="438" t="n"/>
      <c r="AN124" s="398" t="n"/>
      <c r="AO124" s="286" t="n"/>
      <c r="AP124" s="450" t="n"/>
      <c r="AR124" s="450" t="n"/>
      <c r="AT124" s="450" t="n"/>
    </row>
    <row r="125">
      <c r="O125" s="443" t="n"/>
      <c r="P125" s="443" t="n"/>
      <c r="Q125" s="443" t="n"/>
      <c r="R125" s="450" t="n"/>
      <c r="T125" s="443" t="n"/>
      <c r="U125" s="443" t="n"/>
      <c r="V125" s="443" t="n"/>
      <c r="W125" s="450" t="n"/>
      <c r="Z125" s="443" t="n"/>
      <c r="AD125" s="450" t="n"/>
      <c r="AF125" s="450" t="n"/>
      <c r="AG125" s="443" t="n"/>
      <c r="AI125" s="443" t="n"/>
      <c r="AK125" s="450" t="n"/>
      <c r="AL125" s="438" t="n"/>
      <c r="AN125" s="398" t="n"/>
      <c r="AO125" s="286" t="n"/>
      <c r="AP125" s="450" t="n"/>
      <c r="AR125" s="450" t="n"/>
      <c r="AT125" s="450" t="n"/>
    </row>
    <row r="126">
      <c r="O126" s="443" t="n"/>
      <c r="P126" s="443" t="n"/>
      <c r="Q126" s="443" t="n"/>
      <c r="R126" s="450" t="n"/>
      <c r="T126" s="443" t="n"/>
      <c r="U126" s="443" t="n"/>
      <c r="V126" s="443" t="n"/>
      <c r="W126" s="450" t="n"/>
      <c r="Z126" s="443" t="n"/>
      <c r="AD126" s="450" t="n"/>
      <c r="AF126" s="450" t="n"/>
      <c r="AG126" s="443" t="n"/>
      <c r="AI126" s="443" t="n"/>
      <c r="AK126" s="450" t="n"/>
      <c r="AL126" s="438" t="n"/>
      <c r="AN126" s="398" t="n"/>
      <c r="AO126" s="286" t="n"/>
      <c r="AP126" s="450" t="n"/>
      <c r="AR126" s="450" t="n"/>
      <c r="AT126" s="450" t="n"/>
    </row>
    <row r="127">
      <c r="O127" s="443" t="n"/>
      <c r="P127" s="443" t="n"/>
      <c r="Q127" s="443" t="n"/>
      <c r="R127" s="450" t="n"/>
      <c r="T127" s="443" t="n"/>
      <c r="U127" s="443" t="n"/>
      <c r="V127" s="443" t="n"/>
      <c r="W127" s="450" t="n"/>
      <c r="Z127" s="443" t="n"/>
      <c r="AD127" s="450" t="n"/>
      <c r="AF127" s="450" t="n"/>
      <c r="AG127" s="443" t="n"/>
      <c r="AI127" s="443" t="n"/>
      <c r="AK127" s="450" t="n"/>
      <c r="AL127" s="438" t="n"/>
      <c r="AN127" s="398" t="n"/>
      <c r="AO127" s="286" t="n"/>
      <c r="AP127" s="450" t="n"/>
      <c r="AR127" s="450" t="n"/>
      <c r="AT127" s="450" t="n"/>
    </row>
    <row r="128">
      <c r="O128" s="443" t="n"/>
      <c r="P128" s="443" t="n"/>
      <c r="Q128" s="443" t="n"/>
      <c r="R128" s="450" t="n"/>
      <c r="T128" s="443" t="n"/>
      <c r="U128" s="443" t="n"/>
      <c r="V128" s="443" t="n"/>
      <c r="W128" s="450" t="n"/>
      <c r="Z128" s="443" t="n"/>
      <c r="AD128" s="450" t="n"/>
      <c r="AF128" s="450" t="n"/>
      <c r="AG128" s="443" t="n"/>
      <c r="AI128" s="443" t="n"/>
      <c r="AK128" s="450" t="n"/>
      <c r="AL128" s="438" t="n"/>
      <c r="AN128" s="398" t="n"/>
      <c r="AO128" s="286" t="n"/>
      <c r="AP128" s="450" t="n"/>
      <c r="AR128" s="450" t="n"/>
      <c r="AT128" s="450" t="n"/>
    </row>
    <row r="129">
      <c r="O129" s="443" t="n"/>
      <c r="P129" s="443" t="n"/>
      <c r="Q129" s="443" t="n"/>
      <c r="R129" s="450" t="n"/>
      <c r="T129" s="443" t="n"/>
      <c r="U129" s="443" t="n"/>
      <c r="V129" s="443" t="n"/>
      <c r="W129" s="450" t="n"/>
      <c r="Z129" s="443" t="n"/>
      <c r="AD129" s="450" t="n"/>
      <c r="AF129" s="450" t="n"/>
      <c r="AG129" s="443" t="n"/>
      <c r="AI129" s="443" t="n"/>
      <c r="AK129" s="450" t="n"/>
      <c r="AL129" s="438" t="n"/>
      <c r="AN129" s="398" t="n"/>
      <c r="AO129" s="286" t="n"/>
      <c r="AP129" s="450" t="n"/>
      <c r="AR129" s="450" t="n"/>
      <c r="AT129" s="450" t="n"/>
    </row>
    <row r="130">
      <c r="O130" s="443" t="n"/>
      <c r="P130" s="443" t="n"/>
      <c r="Q130" s="443" t="n"/>
      <c r="R130" s="450" t="n"/>
      <c r="T130" s="443" t="n"/>
      <c r="U130" s="443" t="n"/>
      <c r="V130" s="443" t="n"/>
      <c r="W130" s="450" t="n"/>
      <c r="Z130" s="443" t="n"/>
      <c r="AD130" s="450" t="n"/>
      <c r="AF130" s="450" t="n"/>
      <c r="AG130" s="443" t="n"/>
      <c r="AI130" s="443" t="n"/>
      <c r="AK130" s="450" t="n"/>
      <c r="AL130" s="438" t="n"/>
      <c r="AN130" s="398" t="n"/>
      <c r="AO130" s="286" t="n"/>
      <c r="AP130" s="450" t="n"/>
      <c r="AR130" s="450" t="n"/>
      <c r="AT130" s="450" t="n"/>
    </row>
    <row r="131">
      <c r="O131" s="443" t="n"/>
      <c r="P131" s="443" t="n"/>
      <c r="Q131" s="443" t="n"/>
      <c r="R131" s="450" t="n"/>
      <c r="T131" s="443" t="n"/>
      <c r="U131" s="443" t="n"/>
      <c r="V131" s="443" t="n"/>
      <c r="W131" s="450" t="n"/>
      <c r="Z131" s="443" t="n"/>
      <c r="AD131" s="450" t="n"/>
      <c r="AF131" s="450" t="n"/>
      <c r="AG131" s="443" t="n"/>
      <c r="AI131" s="443" t="n"/>
      <c r="AK131" s="450" t="n"/>
      <c r="AL131" s="438" t="n"/>
      <c r="AN131" s="398" t="n"/>
      <c r="AO131" s="286" t="n"/>
      <c r="AP131" s="450" t="n"/>
      <c r="AR131" s="450" t="n"/>
      <c r="AT131" s="450" t="n"/>
    </row>
    <row r="132">
      <c r="O132" s="443" t="n"/>
      <c r="P132" s="443" t="n"/>
      <c r="Q132" s="443" t="n"/>
      <c r="R132" s="450" t="n"/>
      <c r="T132" s="443" t="n"/>
      <c r="U132" s="443" t="n"/>
      <c r="V132" s="443" t="n"/>
      <c r="W132" s="450" t="n"/>
      <c r="Z132" s="443" t="n"/>
      <c r="AD132" s="450" t="n"/>
      <c r="AF132" s="450" t="n"/>
      <c r="AG132" s="443" t="n"/>
      <c r="AI132" s="443" t="n"/>
      <c r="AK132" s="450" t="n"/>
      <c r="AL132" s="438" t="n"/>
      <c r="AN132" s="398" t="n"/>
      <c r="AO132" s="286" t="n"/>
      <c r="AP132" s="450" t="n"/>
      <c r="AR132" s="450" t="n"/>
      <c r="AT132" s="450" t="n"/>
    </row>
    <row r="133">
      <c r="O133" s="443" t="n"/>
      <c r="P133" s="443" t="n"/>
      <c r="Q133" s="443" t="n"/>
      <c r="R133" s="450" t="n"/>
      <c r="T133" s="443" t="n"/>
      <c r="U133" s="443" t="n"/>
      <c r="V133" s="443" t="n"/>
      <c r="W133" s="450" t="n"/>
      <c r="Z133" s="443" t="n"/>
      <c r="AD133" s="450" t="n"/>
      <c r="AF133" s="450" t="n"/>
      <c r="AG133" s="443" t="n"/>
      <c r="AI133" s="443" t="n"/>
      <c r="AK133" s="450" t="n"/>
      <c r="AL133" s="438" t="n"/>
      <c r="AN133" s="398" t="n"/>
      <c r="AO133" s="286" t="n"/>
      <c r="AP133" s="450" t="n"/>
      <c r="AR133" s="450" t="n"/>
      <c r="AT133" s="450" t="n"/>
    </row>
    <row r="134">
      <c r="O134" s="443" t="n"/>
      <c r="P134" s="443" t="n"/>
      <c r="Q134" s="443" t="n"/>
      <c r="R134" s="450" t="n"/>
      <c r="T134" s="443" t="n"/>
      <c r="U134" s="443" t="n"/>
      <c r="V134" s="443" t="n"/>
      <c r="W134" s="450" t="n"/>
      <c r="Z134" s="443" t="n"/>
      <c r="AD134" s="450" t="n"/>
      <c r="AF134" s="450" t="n"/>
      <c r="AG134" s="443" t="n"/>
      <c r="AI134" s="443" t="n"/>
      <c r="AK134" s="450" t="n"/>
      <c r="AL134" s="438" t="n"/>
      <c r="AN134" s="398" t="n"/>
      <c r="AO134" s="286" t="n"/>
      <c r="AP134" s="450" t="n"/>
      <c r="AR134" s="450" t="n"/>
      <c r="AT134" s="450" t="n"/>
    </row>
    <row r="135">
      <c r="O135" s="443" t="n"/>
      <c r="P135" s="443" t="n"/>
      <c r="Q135" s="443" t="n"/>
      <c r="R135" s="450" t="n"/>
      <c r="T135" s="443" t="n"/>
      <c r="U135" s="443" t="n"/>
      <c r="V135" s="443" t="n"/>
      <c r="W135" s="450" t="n"/>
      <c r="Z135" s="443" t="n"/>
      <c r="AD135" s="450" t="n"/>
      <c r="AF135" s="450" t="n"/>
      <c r="AG135" s="443" t="n"/>
      <c r="AI135" s="443" t="n"/>
      <c r="AK135" s="450" t="n"/>
      <c r="AL135" s="438" t="n"/>
      <c r="AN135" s="398" t="n"/>
      <c r="AO135" s="286" t="n"/>
      <c r="AP135" s="450" t="n"/>
      <c r="AR135" s="450" t="n"/>
      <c r="AT135" s="450" t="n"/>
    </row>
    <row r="136">
      <c r="O136" s="443" t="n"/>
      <c r="P136" s="443" t="n"/>
      <c r="Q136" s="443" t="n"/>
      <c r="R136" s="450" t="n"/>
      <c r="T136" s="443" t="n"/>
      <c r="U136" s="443" t="n"/>
      <c r="V136" s="443" t="n"/>
      <c r="W136" s="450" t="n"/>
      <c r="Z136" s="443" t="n"/>
      <c r="AD136" s="450" t="n"/>
      <c r="AF136" s="450" t="n"/>
      <c r="AG136" s="443" t="n"/>
      <c r="AI136" s="443" t="n"/>
      <c r="AK136" s="450" t="n"/>
      <c r="AL136" s="438" t="n"/>
      <c r="AN136" s="398" t="n"/>
      <c r="AO136" s="286" t="n"/>
      <c r="AP136" s="450" t="n"/>
      <c r="AR136" s="450" t="n"/>
      <c r="AT136" s="450" t="n"/>
    </row>
    <row r="137">
      <c r="O137" s="443" t="n"/>
      <c r="P137" s="443" t="n"/>
      <c r="Q137" s="443" t="n"/>
      <c r="R137" s="450" t="n"/>
      <c r="T137" s="443" t="n"/>
      <c r="U137" s="443" t="n"/>
      <c r="V137" s="443" t="n"/>
      <c r="W137" s="450" t="n"/>
      <c r="Z137" s="443" t="n"/>
      <c r="AD137" s="450" t="n"/>
      <c r="AF137" s="450" t="n"/>
      <c r="AG137" s="443" t="n"/>
      <c r="AI137" s="443" t="n"/>
      <c r="AK137" s="450" t="n"/>
      <c r="AL137" s="438" t="n"/>
      <c r="AN137" s="398" t="n"/>
      <c r="AO137" s="286" t="n"/>
      <c r="AP137" s="450" t="n"/>
      <c r="AR137" s="450" t="n"/>
      <c r="AT137" s="450" t="n"/>
    </row>
    <row r="138">
      <c r="O138" s="443" t="n"/>
      <c r="P138" s="443" t="n"/>
      <c r="Q138" s="443" t="n"/>
      <c r="R138" s="450" t="n"/>
      <c r="T138" s="443" t="n"/>
      <c r="U138" s="443" t="n"/>
      <c r="V138" s="443" t="n"/>
      <c r="W138" s="450" t="n"/>
      <c r="Z138" s="443" t="n"/>
      <c r="AD138" s="450" t="n"/>
      <c r="AF138" s="450" t="n"/>
      <c r="AG138" s="443" t="n"/>
      <c r="AI138" s="443" t="n"/>
      <c r="AK138" s="450" t="n"/>
      <c r="AL138" s="438" t="n"/>
      <c r="AN138" s="398" t="n"/>
      <c r="AO138" s="286" t="n"/>
      <c r="AP138" s="450" t="n"/>
      <c r="AR138" s="450" t="n"/>
      <c r="AT138" s="450" t="n"/>
    </row>
    <row r="139">
      <c r="O139" s="443" t="n"/>
      <c r="P139" s="443" t="n"/>
      <c r="Q139" s="443" t="n"/>
      <c r="R139" s="450" t="n"/>
      <c r="T139" s="443" t="n"/>
      <c r="U139" s="443" t="n"/>
      <c r="V139" s="443" t="n"/>
      <c r="W139" s="450" t="n"/>
      <c r="Z139" s="443" t="n"/>
      <c r="AD139" s="450" t="n"/>
      <c r="AF139" s="450" t="n"/>
      <c r="AG139" s="443" t="n"/>
      <c r="AI139" s="443" t="n"/>
      <c r="AK139" s="450" t="n"/>
      <c r="AL139" s="438" t="n"/>
      <c r="AN139" s="398" t="n"/>
      <c r="AO139" s="286" t="n"/>
      <c r="AP139" s="450" t="n"/>
      <c r="AR139" s="450" t="n"/>
      <c r="AT139" s="450" t="n"/>
    </row>
    <row r="140">
      <c r="O140" s="443" t="n"/>
      <c r="P140" s="443" t="n"/>
      <c r="Q140" s="443" t="n"/>
      <c r="R140" s="450" t="n"/>
      <c r="T140" s="443" t="n"/>
      <c r="U140" s="443" t="n"/>
      <c r="V140" s="443" t="n"/>
      <c r="W140" s="450" t="n"/>
      <c r="Z140" s="443" t="n"/>
      <c r="AD140" s="450" t="n"/>
      <c r="AF140" s="450" t="n"/>
      <c r="AG140" s="443" t="n"/>
      <c r="AI140" s="443" t="n"/>
      <c r="AK140" s="450" t="n"/>
      <c r="AL140" s="438" t="n"/>
      <c r="AN140" s="398" t="n"/>
      <c r="AO140" s="286" t="n"/>
      <c r="AP140" s="450" t="n"/>
      <c r="AR140" s="450" t="n"/>
      <c r="AT140" s="450" t="n"/>
    </row>
    <row r="141">
      <c r="O141" s="443" t="n"/>
      <c r="P141" s="443" t="n"/>
      <c r="Q141" s="443" t="n"/>
      <c r="R141" s="450" t="n"/>
      <c r="T141" s="443" t="n"/>
      <c r="U141" s="443" t="n"/>
      <c r="V141" s="443" t="n"/>
      <c r="W141" s="450" t="n"/>
      <c r="Z141" s="443" t="n"/>
      <c r="AD141" s="450" t="n"/>
      <c r="AF141" s="450" t="n"/>
      <c r="AG141" s="443" t="n"/>
      <c r="AI141" s="443" t="n"/>
      <c r="AK141" s="450" t="n"/>
      <c r="AL141" s="438" t="n"/>
      <c r="AN141" s="398" t="n"/>
      <c r="AO141" s="286" t="n"/>
      <c r="AP141" s="450" t="n"/>
      <c r="AR141" s="450" t="n"/>
      <c r="AT141" s="450" t="n"/>
    </row>
    <row r="142">
      <c r="O142" s="443" t="n"/>
      <c r="P142" s="443" t="n"/>
      <c r="Q142" s="443" t="n"/>
      <c r="R142" s="450" t="n"/>
      <c r="T142" s="443" t="n"/>
      <c r="U142" s="443" t="n"/>
      <c r="V142" s="443" t="n"/>
      <c r="W142" s="450" t="n"/>
      <c r="Z142" s="443" t="n"/>
      <c r="AD142" s="450" t="n"/>
      <c r="AF142" s="450" t="n"/>
      <c r="AG142" s="443" t="n"/>
      <c r="AI142" s="443" t="n"/>
      <c r="AK142" s="450" t="n"/>
      <c r="AL142" s="438" t="n"/>
      <c r="AN142" s="398" t="n"/>
      <c r="AO142" s="286" t="n"/>
      <c r="AP142" s="450" t="n"/>
      <c r="AR142" s="450" t="n"/>
      <c r="AT142" s="450" t="n"/>
    </row>
    <row r="143">
      <c r="O143" s="443" t="n"/>
      <c r="P143" s="443" t="n"/>
      <c r="Q143" s="443" t="n"/>
      <c r="R143" s="450" t="n"/>
      <c r="T143" s="443" t="n"/>
      <c r="U143" s="443" t="n"/>
      <c r="V143" s="443" t="n"/>
      <c r="W143" s="450" t="n"/>
      <c r="Z143" s="443" t="n"/>
      <c r="AD143" s="450" t="n"/>
      <c r="AF143" s="450" t="n"/>
      <c r="AG143" s="443" t="n"/>
      <c r="AI143" s="443" t="n"/>
      <c r="AK143" s="450" t="n"/>
      <c r="AL143" s="438" t="n"/>
      <c r="AN143" s="398" t="n"/>
      <c r="AO143" s="286" t="n"/>
      <c r="AP143" s="450" t="n"/>
      <c r="AR143" s="450" t="n"/>
      <c r="AT143" s="450" t="n"/>
    </row>
    <row r="144">
      <c r="O144" s="443" t="n"/>
      <c r="P144" s="443" t="n"/>
      <c r="Q144" s="443" t="n"/>
      <c r="R144" s="450" t="n"/>
      <c r="T144" s="443" t="n"/>
      <c r="U144" s="443" t="n"/>
      <c r="V144" s="443" t="n"/>
      <c r="W144" s="450" t="n"/>
      <c r="Z144" s="443" t="n"/>
      <c r="AD144" s="450" t="n"/>
      <c r="AF144" s="450" t="n"/>
      <c r="AG144" s="443" t="n"/>
      <c r="AI144" s="443" t="n"/>
      <c r="AK144" s="450" t="n"/>
      <c r="AL144" s="438" t="n"/>
      <c r="AN144" s="398" t="n"/>
      <c r="AO144" s="286" t="n"/>
      <c r="AP144" s="450" t="n"/>
      <c r="AR144" s="450" t="n"/>
      <c r="AT144" s="450" t="n"/>
    </row>
    <row r="145">
      <c r="O145" s="443" t="n"/>
      <c r="P145" s="443" t="n"/>
      <c r="Q145" s="443" t="n"/>
      <c r="R145" s="450" t="n"/>
      <c r="T145" s="443" t="n"/>
      <c r="U145" s="443" t="n"/>
      <c r="V145" s="443" t="n"/>
      <c r="W145" s="450" t="n"/>
      <c r="Z145" s="443" t="n"/>
      <c r="AD145" s="450" t="n"/>
      <c r="AF145" s="450" t="n"/>
      <c r="AG145" s="443" t="n"/>
      <c r="AI145" s="443" t="n"/>
      <c r="AK145" s="450" t="n"/>
      <c r="AL145" s="438" t="n"/>
      <c r="AN145" s="398" t="n"/>
      <c r="AO145" s="286" t="n"/>
      <c r="AP145" s="450" t="n"/>
      <c r="AR145" s="450" t="n"/>
      <c r="AT145" s="450" t="n"/>
    </row>
    <row r="146">
      <c r="O146" s="443" t="n"/>
      <c r="P146" s="443" t="n"/>
      <c r="Q146" s="443" t="n"/>
      <c r="R146" s="450" t="n"/>
      <c r="T146" s="443" t="n"/>
      <c r="U146" s="443" t="n"/>
      <c r="V146" s="443" t="n"/>
      <c r="W146" s="450" t="n"/>
      <c r="Z146" s="443" t="n"/>
      <c r="AD146" s="450" t="n"/>
      <c r="AF146" s="450" t="n"/>
      <c r="AG146" s="443" t="n"/>
      <c r="AI146" s="443" t="n"/>
      <c r="AK146" s="450" t="n"/>
      <c r="AL146" s="438" t="n"/>
      <c r="AN146" s="398" t="n"/>
      <c r="AO146" s="286" t="n"/>
      <c r="AP146" s="450" t="n"/>
      <c r="AR146" s="450" t="n"/>
      <c r="AT146" s="450" t="n"/>
    </row>
    <row r="147">
      <c r="O147" s="443" t="n"/>
      <c r="P147" s="443" t="n"/>
      <c r="Q147" s="443" t="n"/>
      <c r="R147" s="450" t="n"/>
      <c r="T147" s="443" t="n"/>
      <c r="U147" s="443" t="n"/>
      <c r="V147" s="443" t="n"/>
      <c r="W147" s="450" t="n"/>
      <c r="Z147" s="443" t="n"/>
      <c r="AD147" s="450" t="n"/>
      <c r="AF147" s="450" t="n"/>
      <c r="AG147" s="443" t="n"/>
      <c r="AI147" s="443" t="n"/>
      <c r="AK147" s="450" t="n"/>
      <c r="AL147" s="438" t="n"/>
      <c r="AN147" s="398" t="n"/>
      <c r="AO147" s="286" t="n"/>
      <c r="AP147" s="450" t="n"/>
      <c r="AR147" s="450" t="n"/>
      <c r="AT147" s="450" t="n"/>
    </row>
    <row r="148">
      <c r="O148" s="443" t="n"/>
      <c r="P148" s="443" t="n"/>
      <c r="Q148" s="443" t="n"/>
      <c r="R148" s="450" t="n"/>
      <c r="T148" s="443" t="n"/>
      <c r="U148" s="443" t="n"/>
      <c r="V148" s="443" t="n"/>
      <c r="W148" s="450" t="n"/>
      <c r="Z148" s="443" t="n"/>
      <c r="AD148" s="450" t="n"/>
      <c r="AF148" s="450" t="n"/>
      <c r="AG148" s="443" t="n"/>
      <c r="AI148" s="443" t="n"/>
      <c r="AK148" s="450" t="n"/>
      <c r="AL148" s="438" t="n"/>
      <c r="AN148" s="398" t="n"/>
      <c r="AO148" s="286" t="n"/>
      <c r="AP148" s="450" t="n"/>
      <c r="AR148" s="450" t="n"/>
      <c r="AT148" s="450" t="n"/>
    </row>
    <row r="149">
      <c r="O149" s="443" t="n"/>
      <c r="P149" s="443" t="n"/>
      <c r="Q149" s="443" t="n"/>
      <c r="R149" s="450" t="n"/>
      <c r="T149" s="443" t="n"/>
      <c r="U149" s="443" t="n"/>
      <c r="V149" s="443" t="n"/>
      <c r="W149" s="450" t="n"/>
      <c r="Z149" s="443" t="n"/>
      <c r="AD149" s="450" t="n"/>
      <c r="AF149" s="450" t="n"/>
      <c r="AG149" s="443" t="n"/>
      <c r="AI149" s="443" t="n"/>
      <c r="AK149" s="450" t="n"/>
      <c r="AL149" s="438" t="n"/>
      <c r="AN149" s="398" t="n"/>
      <c r="AO149" s="286" t="n"/>
      <c r="AP149" s="450" t="n"/>
      <c r="AR149" s="450" t="n"/>
      <c r="AT149" s="450" t="n"/>
    </row>
    <row r="150">
      <c r="O150" s="443" t="n"/>
      <c r="P150" s="443" t="n"/>
      <c r="Q150" s="443" t="n"/>
      <c r="R150" s="450" t="n"/>
      <c r="T150" s="443" t="n"/>
      <c r="U150" s="443" t="n"/>
      <c r="V150" s="443" t="n"/>
      <c r="W150" s="450" t="n"/>
      <c r="Z150" s="443" t="n"/>
      <c r="AD150" s="450" t="n"/>
      <c r="AF150" s="450" t="n"/>
      <c r="AG150" s="443" t="n"/>
      <c r="AI150" s="443" t="n"/>
      <c r="AK150" s="450" t="n"/>
      <c r="AL150" s="438" t="n"/>
      <c r="AN150" s="398" t="n"/>
      <c r="AO150" s="286" t="n"/>
      <c r="AP150" s="450" t="n"/>
      <c r="AR150" s="450" t="n"/>
      <c r="AT150" s="450" t="n"/>
    </row>
    <row r="151">
      <c r="O151" s="443" t="n"/>
      <c r="P151" s="443" t="n"/>
      <c r="Q151" s="443" t="n"/>
      <c r="R151" s="450" t="n"/>
      <c r="T151" s="443" t="n"/>
      <c r="U151" s="443" t="n"/>
      <c r="V151" s="443" t="n"/>
      <c r="W151" s="450" t="n"/>
      <c r="Z151" s="443" t="n"/>
      <c r="AD151" s="450" t="n"/>
      <c r="AF151" s="450" t="n"/>
      <c r="AG151" s="443" t="n"/>
      <c r="AI151" s="443" t="n"/>
      <c r="AK151" s="450" t="n"/>
      <c r="AL151" s="438" t="n"/>
      <c r="AN151" s="398" t="n"/>
      <c r="AO151" s="286" t="n"/>
      <c r="AP151" s="450" t="n"/>
      <c r="AR151" s="450" t="n"/>
      <c r="AT151" s="450" t="n"/>
    </row>
    <row r="152">
      <c r="O152" s="443" t="n"/>
      <c r="P152" s="443" t="n"/>
      <c r="Q152" s="443" t="n"/>
      <c r="R152" s="450" t="n"/>
      <c r="T152" s="443" t="n"/>
      <c r="U152" s="443" t="n"/>
      <c r="V152" s="443" t="n"/>
      <c r="W152" s="450" t="n"/>
      <c r="Z152" s="443" t="n"/>
      <c r="AD152" s="450" t="n"/>
      <c r="AF152" s="450" t="n"/>
      <c r="AG152" s="443" t="n"/>
      <c r="AI152" s="443" t="n"/>
      <c r="AK152" s="450" t="n"/>
      <c r="AL152" s="438" t="n"/>
      <c r="AN152" s="398" t="n"/>
      <c r="AO152" s="286" t="n"/>
      <c r="AP152" s="450" t="n"/>
      <c r="AR152" s="450" t="n"/>
      <c r="AT152" s="450" t="n"/>
    </row>
    <row r="153">
      <c r="O153" s="443" t="n"/>
      <c r="P153" s="443" t="n"/>
      <c r="Q153" s="443" t="n"/>
      <c r="R153" s="450" t="n"/>
      <c r="T153" s="443" t="n"/>
      <c r="U153" s="443" t="n"/>
      <c r="V153" s="443" t="n"/>
      <c r="W153" s="450" t="n"/>
      <c r="Z153" s="443" t="n"/>
      <c r="AD153" s="450" t="n"/>
      <c r="AF153" s="450" t="n"/>
      <c r="AG153" s="443" t="n"/>
      <c r="AI153" s="443" t="n"/>
      <c r="AK153" s="450" t="n"/>
      <c r="AL153" s="438" t="n"/>
      <c r="AN153" s="398" t="n"/>
      <c r="AO153" s="286" t="n"/>
      <c r="AP153" s="450" t="n"/>
      <c r="AR153" s="450" t="n"/>
      <c r="AT153" s="450" t="n"/>
    </row>
    <row r="154">
      <c r="O154" s="443" t="n"/>
      <c r="P154" s="443" t="n"/>
      <c r="Q154" s="443" t="n"/>
      <c r="R154" s="450" t="n"/>
      <c r="T154" s="443" t="n"/>
      <c r="U154" s="443" t="n"/>
      <c r="V154" s="443" t="n"/>
      <c r="W154" s="450" t="n"/>
      <c r="Z154" s="443" t="n"/>
      <c r="AD154" s="450" t="n"/>
      <c r="AF154" s="450" t="n"/>
      <c r="AG154" s="443" t="n"/>
      <c r="AI154" s="443" t="n"/>
      <c r="AK154" s="450" t="n"/>
      <c r="AL154" s="438" t="n"/>
      <c r="AN154" s="398" t="n"/>
      <c r="AO154" s="286" t="n"/>
      <c r="AP154" s="450" t="n"/>
      <c r="AR154" s="450" t="n"/>
      <c r="AT154" s="450" t="n"/>
    </row>
    <row r="155">
      <c r="O155" s="443" t="n"/>
      <c r="P155" s="443" t="n"/>
      <c r="Q155" s="443" t="n"/>
      <c r="R155" s="450" t="n"/>
      <c r="T155" s="443" t="n"/>
      <c r="U155" s="443" t="n"/>
      <c r="V155" s="443" t="n"/>
      <c r="W155" s="450" t="n"/>
      <c r="Z155" s="443" t="n"/>
      <c r="AD155" s="450" t="n"/>
      <c r="AF155" s="450" t="n"/>
      <c r="AG155" s="443" t="n"/>
      <c r="AI155" s="443" t="n"/>
      <c r="AK155" s="450" t="n"/>
      <c r="AL155" s="438" t="n"/>
      <c r="AN155" s="398" t="n"/>
      <c r="AO155" s="286" t="n"/>
      <c r="AP155" s="450" t="n"/>
      <c r="AR155" s="450" t="n"/>
      <c r="AT155" s="450" t="n"/>
    </row>
    <row r="156">
      <c r="O156" s="443" t="n"/>
      <c r="P156" s="443" t="n"/>
      <c r="Q156" s="443" t="n"/>
      <c r="R156" s="450" t="n"/>
      <c r="T156" s="443" t="n"/>
      <c r="U156" s="443" t="n"/>
      <c r="V156" s="443" t="n"/>
      <c r="W156" s="450" t="n"/>
      <c r="Z156" s="443" t="n"/>
      <c r="AD156" s="450" t="n"/>
      <c r="AF156" s="450" t="n"/>
      <c r="AG156" s="443" t="n"/>
      <c r="AI156" s="443" t="n"/>
      <c r="AK156" s="450" t="n"/>
      <c r="AL156" s="438" t="n"/>
      <c r="AN156" s="398" t="n"/>
      <c r="AO156" s="286" t="n"/>
      <c r="AP156" s="450" t="n"/>
      <c r="AR156" s="450" t="n"/>
      <c r="AT156" s="450" t="n"/>
    </row>
    <row r="157">
      <c r="O157" s="443" t="n"/>
      <c r="P157" s="443" t="n"/>
      <c r="Q157" s="443" t="n"/>
      <c r="R157" s="450" t="n"/>
      <c r="T157" s="443" t="n"/>
      <c r="U157" s="443" t="n"/>
      <c r="V157" s="443" t="n"/>
      <c r="W157" s="450" t="n"/>
      <c r="Z157" s="443" t="n"/>
      <c r="AD157" s="450" t="n"/>
      <c r="AF157" s="450" t="n"/>
      <c r="AG157" s="443" t="n"/>
      <c r="AI157" s="443" t="n"/>
      <c r="AK157" s="450" t="n"/>
      <c r="AL157" s="438" t="n"/>
      <c r="AN157" s="398" t="n"/>
      <c r="AO157" s="286" t="n"/>
      <c r="AP157" s="450" t="n"/>
      <c r="AR157" s="450" t="n"/>
      <c r="AT157" s="450" t="n"/>
    </row>
    <row r="158">
      <c r="O158" s="443" t="n"/>
      <c r="P158" s="443" t="n"/>
      <c r="Q158" s="443" t="n"/>
      <c r="R158" s="450" t="n"/>
      <c r="T158" s="443" t="n"/>
      <c r="U158" s="443" t="n"/>
      <c r="V158" s="443" t="n"/>
      <c r="W158" s="450" t="n"/>
      <c r="Z158" s="443" t="n"/>
      <c r="AD158" s="450" t="n"/>
      <c r="AF158" s="450" t="n"/>
      <c r="AG158" s="443" t="n"/>
      <c r="AI158" s="443" t="n"/>
      <c r="AK158" s="450" t="n"/>
      <c r="AL158" s="438" t="n"/>
      <c r="AN158" s="398" t="n"/>
      <c r="AO158" s="286" t="n"/>
      <c r="AP158" s="450" t="n"/>
      <c r="AR158" s="450" t="n"/>
      <c r="AT158" s="450" t="n"/>
    </row>
    <row r="159">
      <c r="O159" s="443" t="n"/>
      <c r="P159" s="443" t="n"/>
      <c r="Q159" s="443" t="n"/>
      <c r="R159" s="450" t="n"/>
      <c r="T159" s="443" t="n"/>
      <c r="U159" s="443" t="n"/>
      <c r="V159" s="443" t="n"/>
      <c r="W159" s="450" t="n"/>
      <c r="Z159" s="443" t="n"/>
      <c r="AD159" s="450" t="n"/>
      <c r="AF159" s="450" t="n"/>
      <c r="AG159" s="443" t="n"/>
      <c r="AI159" s="443" t="n"/>
      <c r="AK159" s="450" t="n"/>
      <c r="AL159" s="438" t="n"/>
      <c r="AN159" s="398" t="n"/>
      <c r="AO159" s="286" t="n"/>
      <c r="AP159" s="450" t="n"/>
      <c r="AR159" s="450" t="n"/>
      <c r="AT159" s="450" t="n"/>
    </row>
    <row r="160">
      <c r="O160" s="443" t="n"/>
      <c r="P160" s="443" t="n"/>
      <c r="Q160" s="443" t="n"/>
      <c r="R160" s="450" t="n"/>
      <c r="T160" s="443" t="n"/>
      <c r="U160" s="443" t="n"/>
      <c r="V160" s="443" t="n"/>
      <c r="W160" s="450" t="n"/>
      <c r="Z160" s="443" t="n"/>
      <c r="AD160" s="450" t="n"/>
      <c r="AF160" s="450" t="n"/>
      <c r="AG160" s="443" t="n"/>
      <c r="AI160" s="443" t="n"/>
      <c r="AK160" s="450" t="n"/>
      <c r="AL160" s="438" t="n"/>
      <c r="AN160" s="398" t="n"/>
      <c r="AO160" s="286" t="n"/>
      <c r="AP160" s="450" t="n"/>
      <c r="AR160" s="450" t="n"/>
      <c r="AT160" s="450" t="n"/>
    </row>
    <row r="161">
      <c r="O161" s="443" t="n"/>
      <c r="P161" s="443" t="n"/>
      <c r="Q161" s="443" t="n"/>
      <c r="R161" s="450" t="n"/>
      <c r="T161" s="443" t="n"/>
      <c r="U161" s="443" t="n"/>
      <c r="V161" s="443" t="n"/>
      <c r="W161" s="450" t="n"/>
      <c r="Z161" s="443" t="n"/>
      <c r="AD161" s="450" t="n"/>
      <c r="AF161" s="450" t="n"/>
      <c r="AG161" s="443" t="n"/>
      <c r="AI161" s="443" t="n"/>
      <c r="AK161" s="450" t="n"/>
      <c r="AL161" s="438" t="n"/>
      <c r="AN161" s="398" t="n"/>
      <c r="AO161" s="286" t="n"/>
      <c r="AP161" s="450" t="n"/>
      <c r="AR161" s="450" t="n"/>
      <c r="AT161" s="450" t="n"/>
    </row>
    <row r="162">
      <c r="O162" s="443" t="n"/>
      <c r="P162" s="443" t="n"/>
      <c r="Q162" s="443" t="n"/>
      <c r="R162" s="450" t="n"/>
      <c r="T162" s="443" t="n"/>
      <c r="U162" s="443" t="n"/>
      <c r="V162" s="443" t="n"/>
      <c r="W162" s="450" t="n"/>
      <c r="Z162" s="443" t="n"/>
      <c r="AD162" s="450" t="n"/>
      <c r="AF162" s="450" t="n"/>
      <c r="AG162" s="443" t="n"/>
      <c r="AI162" s="443" t="n"/>
      <c r="AK162" s="450" t="n"/>
      <c r="AL162" s="438" t="n"/>
      <c r="AN162" s="398" t="n"/>
      <c r="AO162" s="286" t="n"/>
      <c r="AP162" s="450" t="n"/>
      <c r="AR162" s="450" t="n"/>
      <c r="AT162" s="450" t="n"/>
    </row>
    <row r="163">
      <c r="O163" s="443" t="n"/>
      <c r="P163" s="443" t="n"/>
      <c r="Q163" s="443" t="n"/>
      <c r="R163" s="450" t="n"/>
      <c r="T163" s="443" t="n"/>
      <c r="U163" s="443" t="n"/>
      <c r="V163" s="443" t="n"/>
      <c r="W163" s="450" t="n"/>
      <c r="Z163" s="443" t="n"/>
      <c r="AD163" s="450" t="n"/>
      <c r="AF163" s="450" t="n"/>
      <c r="AG163" s="443" t="n"/>
      <c r="AI163" s="443" t="n"/>
      <c r="AK163" s="450" t="n"/>
      <c r="AL163" s="438" t="n"/>
      <c r="AN163" s="398" t="n"/>
      <c r="AO163" s="286" t="n"/>
      <c r="AP163" s="450" t="n"/>
      <c r="AR163" s="450" t="n"/>
      <c r="AT163" s="450" t="n"/>
    </row>
    <row r="164">
      <c r="O164" s="443" t="n"/>
      <c r="P164" s="443" t="n"/>
      <c r="Q164" s="443" t="n"/>
      <c r="R164" s="450" t="n"/>
      <c r="T164" s="443" t="n"/>
      <c r="U164" s="443" t="n"/>
      <c r="V164" s="443" t="n"/>
      <c r="W164" s="450" t="n"/>
      <c r="Z164" s="443" t="n"/>
      <c r="AD164" s="450" t="n"/>
      <c r="AF164" s="450" t="n"/>
      <c r="AG164" s="443" t="n"/>
      <c r="AI164" s="443" t="n"/>
      <c r="AK164" s="450" t="n"/>
      <c r="AL164" s="438" t="n"/>
      <c r="AN164" s="398" t="n"/>
      <c r="AO164" s="286" t="n"/>
      <c r="AP164" s="450" t="n"/>
      <c r="AR164" s="450" t="n"/>
      <c r="AT164" s="450" t="n"/>
    </row>
    <row r="165">
      <c r="O165" s="443" t="n"/>
      <c r="P165" s="443" t="n"/>
      <c r="Q165" s="443" t="n"/>
      <c r="R165" s="450" t="n"/>
      <c r="T165" s="443" t="n"/>
      <c r="U165" s="443" t="n"/>
      <c r="V165" s="443" t="n"/>
      <c r="W165" s="450" t="n"/>
      <c r="Z165" s="443" t="n"/>
      <c r="AD165" s="450" t="n"/>
      <c r="AF165" s="450" t="n"/>
      <c r="AG165" s="443" t="n"/>
      <c r="AI165" s="443" t="n"/>
      <c r="AK165" s="450" t="n"/>
      <c r="AL165" s="438" t="n"/>
      <c r="AN165" s="398" t="n"/>
      <c r="AO165" s="286" t="n"/>
      <c r="AP165" s="450" t="n"/>
      <c r="AR165" s="450" t="n"/>
      <c r="AT165" s="450" t="n"/>
    </row>
    <row r="166">
      <c r="O166" s="443" t="n"/>
      <c r="P166" s="443" t="n"/>
      <c r="Q166" s="443" t="n"/>
      <c r="R166" s="450" t="n"/>
      <c r="T166" s="443" t="n"/>
      <c r="U166" s="443" t="n"/>
      <c r="V166" s="443" t="n"/>
      <c r="W166" s="450" t="n"/>
      <c r="Z166" s="443" t="n"/>
      <c r="AD166" s="450" t="n"/>
      <c r="AF166" s="450" t="n"/>
      <c r="AG166" s="443" t="n"/>
      <c r="AI166" s="443" t="n"/>
      <c r="AK166" s="450" t="n"/>
      <c r="AL166" s="438" t="n"/>
      <c r="AN166" s="398" t="n"/>
      <c r="AO166" s="286" t="n"/>
      <c r="AP166" s="450" t="n"/>
      <c r="AR166" s="450" t="n"/>
      <c r="AT166" s="450" t="n"/>
    </row>
    <row r="167">
      <c r="O167" s="443" t="n"/>
      <c r="P167" s="443" t="n"/>
      <c r="Q167" s="443" t="n"/>
      <c r="R167" s="450" t="n"/>
      <c r="T167" s="443" t="n"/>
      <c r="U167" s="443" t="n"/>
      <c r="V167" s="443" t="n"/>
      <c r="W167" s="450" t="n"/>
      <c r="Z167" s="443" t="n"/>
      <c r="AD167" s="450" t="n"/>
      <c r="AF167" s="450" t="n"/>
      <c r="AG167" s="443" t="n"/>
      <c r="AI167" s="443" t="n"/>
      <c r="AK167" s="450" t="n"/>
      <c r="AL167" s="438" t="n"/>
      <c r="AN167" s="398" t="n"/>
      <c r="AO167" s="286" t="n"/>
      <c r="AP167" s="450" t="n"/>
      <c r="AR167" s="450" t="n"/>
      <c r="AT167" s="450" t="n"/>
    </row>
    <row r="168">
      <c r="O168" s="443" t="n"/>
      <c r="P168" s="443" t="n"/>
      <c r="Q168" s="443" t="n"/>
      <c r="R168" s="450" t="n"/>
      <c r="T168" s="443" t="n"/>
      <c r="U168" s="443" t="n"/>
      <c r="V168" s="443" t="n"/>
      <c r="W168" s="450" t="n"/>
      <c r="Z168" s="443" t="n"/>
      <c r="AD168" s="450" t="n"/>
      <c r="AF168" s="450" t="n"/>
      <c r="AG168" s="443" t="n"/>
      <c r="AI168" s="443" t="n"/>
      <c r="AK168" s="450" t="n"/>
      <c r="AL168" s="438" t="n"/>
      <c r="AN168" s="398" t="n"/>
      <c r="AO168" s="286" t="n"/>
      <c r="AP168" s="450" t="n"/>
      <c r="AR168" s="450" t="n"/>
      <c r="AT168" s="450" t="n"/>
    </row>
    <row r="169">
      <c r="O169" s="443" t="n"/>
      <c r="P169" s="443" t="n"/>
      <c r="Q169" s="443" t="n"/>
      <c r="R169" s="450" t="n"/>
      <c r="T169" s="443" t="n"/>
      <c r="U169" s="443" t="n"/>
      <c r="V169" s="443" t="n"/>
      <c r="W169" s="450" t="n"/>
      <c r="Z169" s="443" t="n"/>
      <c r="AD169" s="450" t="n"/>
      <c r="AF169" s="450" t="n"/>
      <c r="AG169" s="443" t="n"/>
      <c r="AI169" s="443" t="n"/>
      <c r="AK169" s="450" t="n"/>
      <c r="AL169" s="438" t="n"/>
      <c r="AN169" s="398" t="n"/>
      <c r="AO169" s="286" t="n"/>
      <c r="AP169" s="450" t="n"/>
      <c r="AR169" s="450" t="n"/>
      <c r="AT169" s="450" t="n"/>
    </row>
    <row r="170">
      <c r="O170" s="443" t="n"/>
      <c r="P170" s="443" t="n"/>
      <c r="Q170" s="443" t="n"/>
      <c r="R170" s="450" t="n"/>
      <c r="T170" s="443" t="n"/>
      <c r="U170" s="443" t="n"/>
      <c r="V170" s="443" t="n"/>
      <c r="W170" s="450" t="n"/>
      <c r="Z170" s="443" t="n"/>
      <c r="AD170" s="450" t="n"/>
      <c r="AF170" s="450" t="n"/>
      <c r="AG170" s="443" t="n"/>
      <c r="AI170" s="443" t="n"/>
      <c r="AK170" s="450" t="n"/>
      <c r="AL170" s="438" t="n"/>
      <c r="AN170" s="398" t="n"/>
      <c r="AO170" s="286" t="n"/>
      <c r="AP170" s="450" t="n"/>
      <c r="AR170" s="450" t="n"/>
      <c r="AT170" s="450" t="n"/>
    </row>
    <row r="171">
      <c r="O171" s="443" t="n"/>
      <c r="P171" s="443" t="n"/>
      <c r="Q171" s="443" t="n"/>
      <c r="R171" s="450" t="n"/>
      <c r="T171" s="443" t="n"/>
      <c r="U171" s="443" t="n"/>
      <c r="V171" s="443" t="n"/>
      <c r="W171" s="450" t="n"/>
      <c r="Z171" s="443" t="n"/>
      <c r="AD171" s="450" t="n"/>
      <c r="AF171" s="450" t="n"/>
      <c r="AG171" s="443" t="n"/>
      <c r="AI171" s="443" t="n"/>
      <c r="AK171" s="450" t="n"/>
      <c r="AL171" s="438" t="n"/>
      <c r="AN171" s="398" t="n"/>
      <c r="AO171" s="286" t="n"/>
      <c r="AP171" s="450" t="n"/>
      <c r="AR171" s="450" t="n"/>
      <c r="AT171" s="450" t="n"/>
    </row>
    <row r="172">
      <c r="O172" s="443" t="n"/>
      <c r="P172" s="443" t="n"/>
      <c r="Q172" s="443" t="n"/>
      <c r="R172" s="450" t="n"/>
      <c r="T172" s="443" t="n"/>
      <c r="U172" s="443" t="n"/>
      <c r="V172" s="443" t="n"/>
      <c r="W172" s="450" t="n"/>
      <c r="Z172" s="443" t="n"/>
      <c r="AD172" s="450" t="n"/>
      <c r="AF172" s="450" t="n"/>
      <c r="AG172" s="443" t="n"/>
      <c r="AI172" s="443" t="n"/>
      <c r="AK172" s="450" t="n"/>
      <c r="AL172" s="438" t="n"/>
      <c r="AN172" s="398" t="n"/>
      <c r="AO172" s="286" t="n"/>
      <c r="AP172" s="450" t="n"/>
      <c r="AR172" s="450" t="n"/>
      <c r="AT172" s="450" t="n"/>
    </row>
    <row r="173">
      <c r="O173" s="443" t="n"/>
      <c r="P173" s="443" t="n"/>
      <c r="Q173" s="443" t="n"/>
      <c r="R173" s="450" t="n"/>
      <c r="T173" s="443" t="n"/>
      <c r="U173" s="443" t="n"/>
      <c r="V173" s="443" t="n"/>
      <c r="W173" s="450" t="n"/>
      <c r="Z173" s="443" t="n"/>
      <c r="AD173" s="450" t="n"/>
      <c r="AF173" s="450" t="n"/>
      <c r="AG173" s="443" t="n"/>
      <c r="AI173" s="443" t="n"/>
      <c r="AK173" s="450" t="n"/>
      <c r="AL173" s="438" t="n"/>
      <c r="AN173" s="398" t="n"/>
      <c r="AO173" s="286" t="n"/>
      <c r="AP173" s="450" t="n"/>
      <c r="AR173" s="450" t="n"/>
      <c r="AT173" s="450" t="n"/>
    </row>
    <row r="174">
      <c r="O174" s="443" t="n"/>
      <c r="P174" s="443" t="n"/>
      <c r="Q174" s="443" t="n"/>
      <c r="R174" s="450" t="n"/>
      <c r="T174" s="443" t="n"/>
      <c r="U174" s="443" t="n"/>
      <c r="V174" s="443" t="n"/>
      <c r="W174" s="450" t="n"/>
      <c r="Z174" s="443" t="n"/>
      <c r="AD174" s="450" t="n"/>
      <c r="AF174" s="450" t="n"/>
      <c r="AG174" s="443" t="n"/>
      <c r="AI174" s="443" t="n"/>
      <c r="AK174" s="450" t="n"/>
      <c r="AL174" s="438" t="n"/>
      <c r="AN174" s="398" t="n"/>
      <c r="AO174" s="286" t="n"/>
      <c r="AP174" s="450" t="n"/>
      <c r="AR174" s="450" t="n"/>
      <c r="AT174" s="450" t="n"/>
    </row>
    <row r="175">
      <c r="O175" s="443" t="n"/>
      <c r="P175" s="443" t="n"/>
      <c r="Q175" s="443" t="n"/>
      <c r="R175" s="450" t="n"/>
      <c r="T175" s="443" t="n"/>
      <c r="U175" s="443" t="n"/>
      <c r="V175" s="443" t="n"/>
      <c r="W175" s="450" t="n"/>
      <c r="Z175" s="443" t="n"/>
      <c r="AD175" s="450" t="n"/>
      <c r="AF175" s="450" t="n"/>
      <c r="AG175" s="443" t="n"/>
      <c r="AI175" s="443" t="n"/>
      <c r="AK175" s="450" t="n"/>
      <c r="AL175" s="438" t="n"/>
      <c r="AN175" s="398" t="n"/>
      <c r="AO175" s="286" t="n"/>
      <c r="AP175" s="450" t="n"/>
      <c r="AR175" s="450" t="n"/>
      <c r="AT175" s="450" t="n"/>
    </row>
    <row r="176">
      <c r="O176" s="443" t="n"/>
      <c r="P176" s="443" t="n"/>
      <c r="Q176" s="443" t="n"/>
      <c r="R176" s="450" t="n"/>
      <c r="T176" s="443" t="n"/>
      <c r="U176" s="443" t="n"/>
      <c r="V176" s="443" t="n"/>
      <c r="W176" s="450" t="n"/>
      <c r="Z176" s="443" t="n"/>
      <c r="AD176" s="450" t="n"/>
      <c r="AF176" s="450" t="n"/>
      <c r="AG176" s="443" t="n"/>
      <c r="AI176" s="443" t="n"/>
      <c r="AK176" s="450" t="n"/>
      <c r="AL176" s="438" t="n"/>
      <c r="AN176" s="398" t="n"/>
      <c r="AO176" s="286" t="n"/>
      <c r="AP176" s="450" t="n"/>
      <c r="AR176" s="450" t="n"/>
      <c r="AT176" s="450" t="n"/>
    </row>
    <row r="177">
      <c r="O177" s="443" t="n"/>
      <c r="P177" s="443" t="n"/>
      <c r="Q177" s="443" t="n"/>
      <c r="R177" s="450" t="n"/>
      <c r="T177" s="443" t="n"/>
      <c r="U177" s="443" t="n"/>
      <c r="V177" s="443" t="n"/>
      <c r="W177" s="450" t="n"/>
      <c r="Z177" s="443" t="n"/>
      <c r="AD177" s="450" t="n"/>
      <c r="AF177" s="450" t="n"/>
      <c r="AG177" s="443" t="n"/>
      <c r="AI177" s="443" t="n"/>
      <c r="AK177" s="450" t="n"/>
      <c r="AL177" s="438" t="n"/>
      <c r="AN177" s="398" t="n"/>
      <c r="AO177" s="286" t="n"/>
      <c r="AP177" s="450" t="n"/>
      <c r="AR177" s="450" t="n"/>
      <c r="AT177" s="450" t="n"/>
    </row>
    <row r="178">
      <c r="O178" s="443" t="n"/>
      <c r="P178" s="443" t="n"/>
      <c r="Q178" s="443" t="n"/>
      <c r="R178" s="450" t="n"/>
      <c r="T178" s="443" t="n"/>
      <c r="U178" s="443" t="n"/>
      <c r="V178" s="443" t="n"/>
      <c r="W178" s="450" t="n"/>
      <c r="Z178" s="443" t="n"/>
      <c r="AD178" s="450" t="n"/>
      <c r="AF178" s="450" t="n"/>
      <c r="AG178" s="443" t="n"/>
      <c r="AI178" s="443" t="n"/>
      <c r="AK178" s="450" t="n"/>
      <c r="AL178" s="438" t="n"/>
      <c r="AN178" s="398" t="n"/>
      <c r="AO178" s="286" t="n"/>
      <c r="AP178" s="450" t="n"/>
      <c r="AR178" s="450" t="n"/>
      <c r="AT178" s="450" t="n"/>
    </row>
    <row r="179">
      <c r="O179" s="443" t="n"/>
      <c r="P179" s="443" t="n"/>
      <c r="Q179" s="443" t="n"/>
      <c r="R179" s="450" t="n"/>
      <c r="T179" s="443" t="n"/>
      <c r="U179" s="443" t="n"/>
      <c r="V179" s="443" t="n"/>
      <c r="W179" s="450" t="n"/>
      <c r="Z179" s="443" t="n"/>
      <c r="AD179" s="450" t="n"/>
      <c r="AF179" s="450" t="n"/>
      <c r="AG179" s="443" t="n"/>
      <c r="AI179" s="443" t="n"/>
      <c r="AK179" s="450" t="n"/>
      <c r="AL179" s="438" t="n"/>
      <c r="AN179" s="398" t="n"/>
      <c r="AO179" s="286" t="n"/>
      <c r="AP179" s="450" t="n"/>
      <c r="AR179" s="450" t="n"/>
      <c r="AT179" s="450" t="n"/>
    </row>
    <row r="180">
      <c r="O180" s="443" t="n"/>
      <c r="P180" s="443" t="n"/>
      <c r="Q180" s="443" t="n"/>
      <c r="R180" s="450" t="n"/>
      <c r="T180" s="443" t="n"/>
      <c r="U180" s="443" t="n"/>
      <c r="V180" s="443" t="n"/>
      <c r="W180" s="450" t="n"/>
      <c r="Z180" s="443" t="n"/>
      <c r="AD180" s="450" t="n"/>
      <c r="AF180" s="450" t="n"/>
      <c r="AG180" s="443" t="n"/>
      <c r="AI180" s="443" t="n"/>
      <c r="AK180" s="450" t="n"/>
      <c r="AL180" s="438" t="n"/>
      <c r="AN180" s="398" t="n"/>
      <c r="AO180" s="286" t="n"/>
      <c r="AP180" s="450" t="n"/>
      <c r="AR180" s="450" t="n"/>
      <c r="AT180" s="450" t="n"/>
    </row>
    <row r="181">
      <c r="O181" s="443" t="n"/>
      <c r="P181" s="443" t="n"/>
      <c r="Q181" s="443" t="n"/>
      <c r="R181" s="450" t="n"/>
      <c r="T181" s="443" t="n"/>
      <c r="U181" s="443" t="n"/>
      <c r="V181" s="443" t="n"/>
      <c r="W181" s="450" t="n"/>
      <c r="Z181" s="443" t="n"/>
      <c r="AD181" s="450" t="n"/>
      <c r="AF181" s="450" t="n"/>
      <c r="AG181" s="443" t="n"/>
      <c r="AI181" s="443" t="n"/>
      <c r="AK181" s="450" t="n"/>
      <c r="AL181" s="438" t="n"/>
      <c r="AN181" s="398" t="n"/>
      <c r="AO181" s="286" t="n"/>
      <c r="AP181" s="450" t="n"/>
      <c r="AR181" s="450" t="n"/>
      <c r="AT181" s="450" t="n"/>
    </row>
    <row r="182">
      <c r="O182" s="443" t="n"/>
      <c r="P182" s="443" t="n"/>
      <c r="Q182" s="443" t="n"/>
      <c r="R182" s="450" t="n"/>
      <c r="T182" s="443" t="n"/>
      <c r="U182" s="443" t="n"/>
      <c r="V182" s="443" t="n"/>
      <c r="W182" s="450" t="n"/>
      <c r="Z182" s="443" t="n"/>
      <c r="AD182" s="450" t="n"/>
      <c r="AF182" s="450" t="n"/>
      <c r="AG182" s="443" t="n"/>
      <c r="AI182" s="443" t="n"/>
      <c r="AK182" s="450" t="n"/>
      <c r="AL182" s="438" t="n"/>
      <c r="AN182" s="398" t="n"/>
      <c r="AO182" s="286" t="n"/>
      <c r="AP182" s="450" t="n"/>
      <c r="AR182" s="450" t="n"/>
      <c r="AT182" s="450" t="n"/>
    </row>
    <row r="183">
      <c r="O183" s="443" t="n"/>
      <c r="P183" s="443" t="n"/>
      <c r="Q183" s="443" t="n"/>
      <c r="R183" s="450" t="n"/>
      <c r="T183" s="443" t="n"/>
      <c r="U183" s="443" t="n"/>
      <c r="V183" s="443" t="n"/>
      <c r="W183" s="450" t="n"/>
      <c r="Z183" s="443" t="n"/>
      <c r="AD183" s="450" t="n"/>
      <c r="AF183" s="450" t="n"/>
      <c r="AG183" s="443" t="n"/>
      <c r="AI183" s="443" t="n"/>
      <c r="AK183" s="450" t="n"/>
      <c r="AL183" s="438" t="n"/>
      <c r="AN183" s="398" t="n"/>
      <c r="AO183" s="286" t="n"/>
      <c r="AP183" s="450" t="n"/>
      <c r="AR183" s="450" t="n"/>
      <c r="AT183" s="450" t="n"/>
    </row>
    <row r="184">
      <c r="O184" s="443" t="n"/>
      <c r="P184" s="443" t="n"/>
      <c r="Q184" s="443" t="n"/>
      <c r="R184" s="450" t="n"/>
      <c r="T184" s="443" t="n"/>
      <c r="U184" s="443" t="n"/>
      <c r="V184" s="443" t="n"/>
      <c r="W184" s="450" t="n"/>
      <c r="Z184" s="443" t="n"/>
      <c r="AD184" s="450" t="n"/>
      <c r="AF184" s="450" t="n"/>
      <c r="AG184" s="443" t="n"/>
      <c r="AI184" s="443" t="n"/>
      <c r="AK184" s="450" t="n"/>
      <c r="AL184" s="438" t="n"/>
      <c r="AN184" s="398" t="n"/>
      <c r="AO184" s="286" t="n"/>
      <c r="AP184" s="450" t="n"/>
      <c r="AR184" s="450" t="n"/>
      <c r="AT184" s="450" t="n"/>
    </row>
    <row r="185">
      <c r="O185" s="443" t="n"/>
      <c r="P185" s="443" t="n"/>
      <c r="Q185" s="443" t="n"/>
      <c r="R185" s="450" t="n"/>
      <c r="T185" s="443" t="n"/>
      <c r="U185" s="443" t="n"/>
      <c r="V185" s="443" t="n"/>
      <c r="W185" s="450" t="n"/>
      <c r="Z185" s="443" t="n"/>
      <c r="AD185" s="450" t="n"/>
      <c r="AF185" s="450" t="n"/>
      <c r="AG185" s="443" t="n"/>
      <c r="AI185" s="443" t="n"/>
      <c r="AK185" s="450" t="n"/>
      <c r="AL185" s="438" t="n"/>
      <c r="AN185" s="398" t="n"/>
      <c r="AO185" s="286" t="n"/>
      <c r="AP185" s="450" t="n"/>
      <c r="AR185" s="450" t="n"/>
      <c r="AT185" s="450" t="n"/>
    </row>
    <row r="186">
      <c r="O186" s="443" t="n"/>
      <c r="P186" s="443" t="n"/>
      <c r="Q186" s="443" t="n"/>
      <c r="R186" s="450" t="n"/>
      <c r="T186" s="443" t="n"/>
      <c r="U186" s="443" t="n"/>
      <c r="V186" s="443" t="n"/>
      <c r="W186" s="450" t="n"/>
      <c r="Z186" s="443" t="n"/>
      <c r="AD186" s="450" t="n"/>
      <c r="AF186" s="450" t="n"/>
      <c r="AG186" s="443" t="n"/>
      <c r="AI186" s="443" t="n"/>
      <c r="AK186" s="450" t="n"/>
      <c r="AL186" s="438" t="n"/>
      <c r="AN186" s="398" t="n"/>
      <c r="AO186" s="286" t="n"/>
      <c r="AP186" s="450" t="n"/>
      <c r="AR186" s="450" t="n"/>
      <c r="AT186" s="450" t="n"/>
    </row>
    <row r="187">
      <c r="O187" s="443" t="n"/>
      <c r="P187" s="443" t="n"/>
      <c r="Q187" s="443" t="n"/>
      <c r="R187" s="450" t="n"/>
      <c r="T187" s="443" t="n"/>
      <c r="U187" s="443" t="n"/>
      <c r="V187" s="443" t="n"/>
      <c r="W187" s="450" t="n"/>
      <c r="Z187" s="443" t="n"/>
      <c r="AD187" s="450" t="n"/>
      <c r="AF187" s="450" t="n"/>
      <c r="AG187" s="443" t="n"/>
      <c r="AI187" s="443" t="n"/>
      <c r="AK187" s="450" t="n"/>
      <c r="AL187" s="438" t="n"/>
      <c r="AN187" s="398" t="n"/>
      <c r="AO187" s="286" t="n"/>
      <c r="AP187" s="450" t="n"/>
      <c r="AR187" s="450" t="n"/>
      <c r="AT187" s="450" t="n"/>
    </row>
    <row r="188">
      <c r="O188" s="443" t="n"/>
      <c r="P188" s="443" t="n"/>
      <c r="Q188" s="443" t="n"/>
      <c r="R188" s="450" t="n"/>
      <c r="T188" s="443" t="n"/>
      <c r="U188" s="443" t="n"/>
      <c r="V188" s="443" t="n"/>
      <c r="W188" s="450" t="n"/>
      <c r="Z188" s="443" t="n"/>
      <c r="AD188" s="450" t="n"/>
      <c r="AF188" s="450" t="n"/>
      <c r="AG188" s="443" t="n"/>
      <c r="AI188" s="443" t="n"/>
      <c r="AK188" s="450" t="n"/>
      <c r="AL188" s="438" t="n"/>
      <c r="AN188" s="398" t="n"/>
      <c r="AO188" s="286" t="n"/>
      <c r="AP188" s="450" t="n"/>
      <c r="AR188" s="450" t="n"/>
      <c r="AT188" s="450" t="n"/>
    </row>
    <row r="189">
      <c r="O189" s="443" t="n"/>
      <c r="P189" s="443" t="n"/>
      <c r="Q189" s="443" t="n"/>
      <c r="R189" s="450" t="n"/>
      <c r="T189" s="443" t="n"/>
      <c r="U189" s="443" t="n"/>
      <c r="V189" s="443" t="n"/>
      <c r="W189" s="450" t="n"/>
      <c r="Z189" s="443" t="n"/>
      <c r="AD189" s="450" t="n"/>
      <c r="AF189" s="450" t="n"/>
      <c r="AG189" s="443" t="n"/>
      <c r="AI189" s="443" t="n"/>
      <c r="AK189" s="450" t="n"/>
      <c r="AL189" s="438" t="n"/>
      <c r="AN189" s="398" t="n"/>
      <c r="AO189" s="286" t="n"/>
      <c r="AP189" s="450" t="n"/>
      <c r="AR189" s="450" t="n"/>
      <c r="AT189" s="450" t="n"/>
    </row>
    <row r="190">
      <c r="O190" s="443" t="n"/>
      <c r="P190" s="443" t="n"/>
      <c r="Q190" s="443" t="n"/>
      <c r="R190" s="450" t="n"/>
      <c r="T190" s="443" t="n"/>
      <c r="U190" s="443" t="n"/>
      <c r="V190" s="443" t="n"/>
      <c r="W190" s="450" t="n"/>
      <c r="Z190" s="443" t="n"/>
      <c r="AD190" s="450" t="n"/>
      <c r="AF190" s="450" t="n"/>
      <c r="AG190" s="443" t="n"/>
      <c r="AI190" s="443" t="n"/>
      <c r="AK190" s="450" t="n"/>
      <c r="AL190" s="438" t="n"/>
      <c r="AN190" s="398" t="n"/>
      <c r="AO190" s="286" t="n"/>
      <c r="AP190" s="450" t="n"/>
      <c r="AR190" s="450" t="n"/>
      <c r="AT190" s="450" t="n"/>
    </row>
    <row r="191">
      <c r="O191" s="443" t="n"/>
      <c r="P191" s="443" t="n"/>
      <c r="Q191" s="443" t="n"/>
      <c r="R191" s="450" t="n"/>
      <c r="T191" s="443" t="n"/>
      <c r="U191" s="443" t="n"/>
      <c r="V191" s="443" t="n"/>
      <c r="W191" s="450" t="n"/>
      <c r="Z191" s="443" t="n"/>
      <c r="AD191" s="450" t="n"/>
      <c r="AF191" s="450" t="n"/>
      <c r="AG191" s="443" t="n"/>
      <c r="AI191" s="443" t="n"/>
      <c r="AK191" s="450" t="n"/>
      <c r="AL191" s="438" t="n"/>
      <c r="AN191" s="398" t="n"/>
      <c r="AO191" s="286" t="n"/>
      <c r="AP191" s="450" t="n"/>
      <c r="AR191" s="450" t="n"/>
      <c r="AT191" s="450" t="n"/>
    </row>
    <row r="192">
      <c r="O192" s="443" t="n"/>
      <c r="P192" s="443" t="n"/>
      <c r="Q192" s="443" t="n"/>
      <c r="R192" s="450" t="n"/>
      <c r="T192" s="443" t="n"/>
      <c r="U192" s="443" t="n"/>
      <c r="V192" s="443" t="n"/>
      <c r="W192" s="450" t="n"/>
      <c r="Z192" s="443" t="n"/>
      <c r="AD192" s="450" t="n"/>
      <c r="AF192" s="450" t="n"/>
      <c r="AG192" s="443" t="n"/>
      <c r="AI192" s="443" t="n"/>
      <c r="AK192" s="450" t="n"/>
      <c r="AL192" s="438" t="n"/>
      <c r="AN192" s="398" t="n"/>
      <c r="AO192" s="286" t="n"/>
      <c r="AP192" s="450" t="n"/>
      <c r="AR192" s="450" t="n"/>
      <c r="AT192" s="450" t="n"/>
    </row>
    <row r="193">
      <c r="O193" s="443" t="n"/>
      <c r="P193" s="443" t="n"/>
      <c r="Q193" s="443" t="n"/>
      <c r="R193" s="450" t="n"/>
      <c r="T193" s="443" t="n"/>
      <c r="U193" s="443" t="n"/>
      <c r="V193" s="443" t="n"/>
      <c r="W193" s="450" t="n"/>
      <c r="Z193" s="443" t="n"/>
      <c r="AD193" s="450" t="n"/>
      <c r="AF193" s="450" t="n"/>
      <c r="AG193" s="443" t="n"/>
      <c r="AI193" s="443" t="n"/>
      <c r="AK193" s="450" t="n"/>
      <c r="AL193" s="438" t="n"/>
      <c r="AN193" s="398" t="n"/>
      <c r="AO193" s="286" t="n"/>
      <c r="AP193" s="450" t="n"/>
      <c r="AR193" s="450" t="n"/>
      <c r="AT193" s="450" t="n"/>
    </row>
    <row r="194">
      <c r="O194" s="443" t="n"/>
      <c r="P194" s="443" t="n"/>
      <c r="Q194" s="443" t="n"/>
      <c r="R194" s="450" t="n"/>
      <c r="T194" s="443" t="n"/>
      <c r="U194" s="443" t="n"/>
      <c r="V194" s="443" t="n"/>
      <c r="W194" s="450" t="n"/>
      <c r="Z194" s="443" t="n"/>
      <c r="AD194" s="450" t="n"/>
      <c r="AF194" s="450" t="n"/>
      <c r="AG194" s="443" t="n"/>
      <c r="AI194" s="443" t="n"/>
      <c r="AK194" s="450" t="n"/>
      <c r="AL194" s="438" t="n"/>
      <c r="AN194" s="398" t="n"/>
      <c r="AO194" s="286" t="n"/>
      <c r="AP194" s="450" t="n"/>
      <c r="AR194" s="450" t="n"/>
      <c r="AT194" s="450" t="n"/>
    </row>
    <row r="195">
      <c r="O195" s="443" t="n"/>
      <c r="P195" s="443" t="n"/>
      <c r="Q195" s="443" t="n"/>
      <c r="R195" s="450" t="n"/>
      <c r="T195" s="443" t="n"/>
      <c r="U195" s="443" t="n"/>
      <c r="V195" s="443" t="n"/>
      <c r="W195" s="450" t="n"/>
      <c r="Z195" s="443" t="n"/>
      <c r="AD195" s="450" t="n"/>
      <c r="AF195" s="450" t="n"/>
      <c r="AG195" s="443" t="n"/>
      <c r="AI195" s="443" t="n"/>
      <c r="AK195" s="450" t="n"/>
      <c r="AL195" s="438" t="n"/>
      <c r="AN195" s="398" t="n"/>
      <c r="AO195" s="286" t="n"/>
      <c r="AP195" s="450" t="n"/>
      <c r="AR195" s="450" t="n"/>
      <c r="AT195" s="450" t="n"/>
    </row>
    <row r="196">
      <c r="O196" s="443" t="n"/>
      <c r="P196" s="443" t="n"/>
      <c r="Q196" s="443" t="n"/>
      <c r="R196" s="450" t="n"/>
      <c r="T196" s="443" t="n"/>
      <c r="U196" s="443" t="n"/>
      <c r="V196" s="443" t="n"/>
      <c r="W196" s="450" t="n"/>
      <c r="Z196" s="443" t="n"/>
      <c r="AD196" s="450" t="n"/>
      <c r="AF196" s="450" t="n"/>
      <c r="AG196" s="443" t="n"/>
      <c r="AI196" s="443" t="n"/>
      <c r="AK196" s="450" t="n"/>
      <c r="AL196" s="438" t="n"/>
      <c r="AN196" s="398" t="n"/>
      <c r="AO196" s="286" t="n"/>
      <c r="AP196" s="450" t="n"/>
      <c r="AR196" s="450" t="n"/>
      <c r="AT196" s="450" t="n"/>
    </row>
    <row r="197">
      <c r="O197" s="443" t="n"/>
      <c r="P197" s="443" t="n"/>
      <c r="Q197" s="443" t="n"/>
      <c r="R197" s="450" t="n"/>
      <c r="T197" s="443" t="n"/>
      <c r="U197" s="443" t="n"/>
      <c r="V197" s="443" t="n"/>
      <c r="W197" s="450" t="n"/>
      <c r="Z197" s="443" t="n"/>
      <c r="AD197" s="450" t="n"/>
      <c r="AF197" s="450" t="n"/>
      <c r="AG197" s="443" t="n"/>
      <c r="AI197" s="443" t="n"/>
      <c r="AK197" s="450" t="n"/>
      <c r="AL197" s="438" t="n"/>
      <c r="AN197" s="398" t="n"/>
      <c r="AO197" s="286" t="n"/>
      <c r="AP197" s="450" t="n"/>
      <c r="AR197" s="450" t="n"/>
      <c r="AT197" s="450" t="n"/>
    </row>
    <row r="198">
      <c r="O198" s="443" t="n"/>
      <c r="P198" s="443" t="n"/>
      <c r="Q198" s="443" t="n"/>
      <c r="R198" s="450" t="n"/>
      <c r="T198" s="443" t="n"/>
      <c r="U198" s="443" t="n"/>
      <c r="V198" s="443" t="n"/>
      <c r="W198" s="450" t="n"/>
      <c r="Z198" s="443" t="n"/>
      <c r="AD198" s="450" t="n"/>
      <c r="AF198" s="450" t="n"/>
      <c r="AG198" s="443" t="n"/>
      <c r="AI198" s="443" t="n"/>
      <c r="AK198" s="450" t="n"/>
      <c r="AL198" s="438" t="n"/>
      <c r="AN198" s="398" t="n"/>
      <c r="AO198" s="286" t="n"/>
      <c r="AP198" s="450" t="n"/>
      <c r="AR198" s="450" t="n"/>
      <c r="AT198" s="450" t="n"/>
    </row>
    <row r="199">
      <c r="O199" s="443" t="n"/>
      <c r="P199" s="443" t="n"/>
      <c r="Q199" s="443" t="n"/>
      <c r="R199" s="450" t="n"/>
      <c r="T199" s="443" t="n"/>
      <c r="U199" s="443" t="n"/>
      <c r="V199" s="443" t="n"/>
      <c r="W199" s="450" t="n"/>
      <c r="Z199" s="443" t="n"/>
      <c r="AD199" s="450" t="n"/>
      <c r="AF199" s="450" t="n"/>
      <c r="AG199" s="443" t="n"/>
      <c r="AI199" s="443" t="n"/>
      <c r="AK199" s="450" t="n"/>
      <c r="AL199" s="438" t="n"/>
      <c r="AN199" s="398" t="n"/>
      <c r="AO199" s="286" t="n"/>
      <c r="AP199" s="450" t="n"/>
      <c r="AR199" s="450" t="n"/>
      <c r="AT199" s="450" t="n"/>
    </row>
    <row r="200">
      <c r="O200" s="443" t="n"/>
      <c r="P200" s="443" t="n"/>
      <c r="Q200" s="443" t="n"/>
      <c r="R200" s="450" t="n"/>
      <c r="T200" s="443" t="n"/>
      <c r="U200" s="443" t="n"/>
      <c r="V200" s="443" t="n"/>
      <c r="W200" s="450" t="n"/>
      <c r="Z200" s="443" t="n"/>
      <c r="AD200" s="450" t="n"/>
      <c r="AF200" s="450" t="n"/>
      <c r="AG200" s="443" t="n"/>
      <c r="AI200" s="443" t="n"/>
      <c r="AK200" s="450" t="n"/>
      <c r="AL200" s="438" t="n"/>
      <c r="AN200" s="398" t="n"/>
      <c r="AO200" s="286" t="n"/>
      <c r="AP200" s="450" t="n"/>
      <c r="AR200" s="450" t="n"/>
      <c r="AT200" s="450" t="n"/>
    </row>
    <row r="201">
      <c r="O201" s="443" t="n"/>
      <c r="P201" s="443" t="n"/>
      <c r="Q201" s="443" t="n"/>
      <c r="R201" s="450" t="n"/>
      <c r="T201" s="443" t="n"/>
      <c r="U201" s="443" t="n"/>
      <c r="V201" s="443" t="n"/>
      <c r="W201" s="450" t="n"/>
      <c r="Z201" s="443" t="n"/>
      <c r="AD201" s="450" t="n"/>
      <c r="AF201" s="450" t="n"/>
      <c r="AG201" s="443" t="n"/>
      <c r="AI201" s="443" t="n"/>
      <c r="AK201" s="450" t="n"/>
      <c r="AL201" s="438" t="n"/>
      <c r="AN201" s="398" t="n"/>
      <c r="AO201" s="286" t="n"/>
      <c r="AP201" s="450" t="n"/>
      <c r="AR201" s="450" t="n"/>
      <c r="AT201" s="450" t="n"/>
    </row>
    <row r="202">
      <c r="O202" s="443" t="n"/>
      <c r="P202" s="443" t="n"/>
      <c r="Q202" s="443" t="n"/>
      <c r="R202" s="450" t="n"/>
      <c r="T202" s="443" t="n"/>
      <c r="U202" s="443" t="n"/>
      <c r="V202" s="443" t="n"/>
      <c r="W202" s="450" t="n"/>
      <c r="Z202" s="443" t="n"/>
      <c r="AD202" s="450" t="n"/>
      <c r="AF202" s="450" t="n"/>
      <c r="AG202" s="443" t="n"/>
      <c r="AI202" s="443" t="n"/>
      <c r="AK202" s="450" t="n"/>
      <c r="AL202" s="438" t="n"/>
      <c r="AN202" s="398" t="n"/>
      <c r="AO202" s="286" t="n"/>
      <c r="AP202" s="450" t="n"/>
      <c r="AR202" s="450" t="n"/>
      <c r="AT202" s="450" t="n"/>
    </row>
    <row r="203">
      <c r="O203" s="443" t="n"/>
      <c r="P203" s="443" t="n"/>
      <c r="Q203" s="443" t="n"/>
      <c r="R203" s="450" t="n"/>
      <c r="T203" s="443" t="n"/>
      <c r="U203" s="443" t="n"/>
      <c r="V203" s="443" t="n"/>
      <c r="W203" s="450" t="n"/>
      <c r="Z203" s="443" t="n"/>
      <c r="AD203" s="450" t="n"/>
      <c r="AF203" s="450" t="n"/>
      <c r="AG203" s="443" t="n"/>
      <c r="AI203" s="443" t="n"/>
      <c r="AK203" s="450" t="n"/>
      <c r="AL203" s="438" t="n"/>
      <c r="AN203" s="398" t="n"/>
      <c r="AO203" s="286" t="n"/>
      <c r="AP203" s="450" t="n"/>
      <c r="AR203" s="450" t="n"/>
      <c r="AT203" s="450" t="n"/>
    </row>
    <row r="204">
      <c r="O204" s="443" t="n"/>
      <c r="P204" s="443" t="n"/>
      <c r="Q204" s="443" t="n"/>
      <c r="R204" s="450" t="n"/>
      <c r="T204" s="443" t="n"/>
      <c r="U204" s="443" t="n"/>
      <c r="V204" s="443" t="n"/>
      <c r="W204" s="450" t="n"/>
      <c r="Z204" s="443" t="n"/>
      <c r="AD204" s="450" t="n"/>
      <c r="AF204" s="450" t="n"/>
      <c r="AG204" s="443" t="n"/>
      <c r="AI204" s="443" t="n"/>
      <c r="AK204" s="450" t="n"/>
      <c r="AL204" s="438" t="n"/>
      <c r="AN204" s="398" t="n"/>
      <c r="AO204" s="286" t="n"/>
      <c r="AP204" s="450" t="n"/>
      <c r="AR204" s="450" t="n"/>
      <c r="AT204" s="450" t="n"/>
    </row>
    <row r="205">
      <c r="O205" s="443" t="n"/>
      <c r="P205" s="443" t="n"/>
      <c r="Q205" s="443" t="n"/>
      <c r="R205" s="450" t="n"/>
      <c r="T205" s="443" t="n"/>
      <c r="U205" s="443" t="n"/>
      <c r="V205" s="443" t="n"/>
      <c r="W205" s="450" t="n"/>
      <c r="Z205" s="443" t="n"/>
      <c r="AD205" s="450" t="n"/>
      <c r="AF205" s="450" t="n"/>
      <c r="AG205" s="443" t="n"/>
      <c r="AI205" s="443" t="n"/>
      <c r="AK205" s="450" t="n"/>
      <c r="AL205" s="438" t="n"/>
      <c r="AN205" s="398" t="n"/>
      <c r="AO205" s="286" t="n"/>
      <c r="AP205" s="450" t="n"/>
      <c r="AR205" s="450" t="n"/>
      <c r="AT205" s="450" t="n"/>
    </row>
    <row r="206">
      <c r="O206" s="443" t="n"/>
      <c r="P206" s="443" t="n"/>
      <c r="Q206" s="443" t="n"/>
      <c r="R206" s="450" t="n"/>
      <c r="T206" s="443" t="n"/>
      <c r="U206" s="443" t="n"/>
      <c r="V206" s="443" t="n"/>
      <c r="W206" s="450" t="n"/>
      <c r="Z206" s="443" t="n"/>
      <c r="AD206" s="450" t="n"/>
      <c r="AF206" s="450" t="n"/>
      <c r="AG206" s="443" t="n"/>
      <c r="AI206" s="443" t="n"/>
      <c r="AK206" s="450" t="n"/>
      <c r="AL206" s="438" t="n"/>
      <c r="AN206" s="398" t="n"/>
      <c r="AO206" s="286" t="n"/>
      <c r="AP206" s="450" t="n"/>
      <c r="AR206" s="450" t="n"/>
      <c r="AT206" s="450" t="n"/>
    </row>
    <row r="207">
      <c r="O207" s="443" t="n"/>
      <c r="P207" s="443" t="n"/>
      <c r="Q207" s="443" t="n"/>
      <c r="R207" s="450" t="n"/>
      <c r="T207" s="443" t="n"/>
      <c r="U207" s="443" t="n"/>
      <c r="V207" s="443" t="n"/>
      <c r="W207" s="450" t="n"/>
      <c r="Z207" s="443" t="n"/>
      <c r="AD207" s="450" t="n"/>
      <c r="AF207" s="450" t="n"/>
      <c r="AG207" s="443" t="n"/>
      <c r="AI207" s="443" t="n"/>
      <c r="AK207" s="450" t="n"/>
      <c r="AL207" s="438" t="n"/>
      <c r="AN207" s="398" t="n"/>
      <c r="AO207" s="286" t="n"/>
      <c r="AP207" s="450" t="n"/>
      <c r="AR207" s="450" t="n"/>
      <c r="AT207" s="450" t="n"/>
    </row>
    <row r="208">
      <c r="O208" s="443" t="n"/>
      <c r="P208" s="443" t="n"/>
      <c r="Q208" s="443" t="n"/>
      <c r="R208" s="450" t="n"/>
      <c r="T208" s="443" t="n"/>
      <c r="U208" s="443" t="n"/>
      <c r="V208" s="443" t="n"/>
      <c r="W208" s="450" t="n"/>
      <c r="Z208" s="443" t="n"/>
      <c r="AD208" s="450" t="n"/>
      <c r="AF208" s="450" t="n"/>
      <c r="AG208" s="443" t="n"/>
      <c r="AI208" s="443" t="n"/>
      <c r="AK208" s="450" t="n"/>
      <c r="AL208" s="438" t="n"/>
      <c r="AN208" s="398" t="n"/>
      <c r="AO208" s="286" t="n"/>
      <c r="AP208" s="450" t="n"/>
      <c r="AR208" s="450" t="n"/>
      <c r="AT208" s="450" t="n"/>
    </row>
    <row r="209">
      <c r="O209" s="443" t="n"/>
      <c r="P209" s="443" t="n"/>
      <c r="Q209" s="443" t="n"/>
      <c r="R209" s="450" t="n"/>
      <c r="T209" s="443" t="n"/>
      <c r="U209" s="443" t="n"/>
      <c r="V209" s="443" t="n"/>
      <c r="W209" s="450" t="n"/>
      <c r="Z209" s="443" t="n"/>
      <c r="AD209" s="450" t="n"/>
      <c r="AF209" s="450" t="n"/>
      <c r="AG209" s="443" t="n"/>
      <c r="AI209" s="443" t="n"/>
      <c r="AK209" s="450" t="n"/>
      <c r="AL209" s="438" t="n"/>
      <c r="AN209" s="398" t="n"/>
      <c r="AO209" s="286" t="n"/>
      <c r="AP209" s="450" t="n"/>
      <c r="AR209" s="450" t="n"/>
      <c r="AT209" s="450" t="n"/>
    </row>
    <row r="210">
      <c r="O210" s="443" t="n"/>
      <c r="P210" s="443" t="n"/>
      <c r="Q210" s="443" t="n"/>
      <c r="R210" s="450" t="n"/>
      <c r="T210" s="443" t="n"/>
      <c r="U210" s="443" t="n"/>
      <c r="V210" s="443" t="n"/>
      <c r="W210" s="450" t="n"/>
      <c r="Z210" s="443" t="n"/>
      <c r="AD210" s="450" t="n"/>
      <c r="AF210" s="450" t="n"/>
      <c r="AG210" s="443" t="n"/>
      <c r="AI210" s="443" t="n"/>
      <c r="AK210" s="450" t="n"/>
      <c r="AL210" s="438" t="n"/>
      <c r="AN210" s="398" t="n"/>
      <c r="AO210" s="286" t="n"/>
      <c r="AP210" s="450" t="n"/>
      <c r="AR210" s="450" t="n"/>
      <c r="AT210" s="450" t="n"/>
    </row>
    <row r="211">
      <c r="O211" s="443" t="n"/>
      <c r="P211" s="443" t="n"/>
      <c r="Q211" s="443" t="n"/>
      <c r="R211" s="450" t="n"/>
      <c r="T211" s="443" t="n"/>
      <c r="U211" s="443" t="n"/>
      <c r="V211" s="443" t="n"/>
      <c r="W211" s="450" t="n"/>
      <c r="Z211" s="443" t="n"/>
      <c r="AD211" s="450" t="n"/>
      <c r="AF211" s="450" t="n"/>
      <c r="AG211" s="443" t="n"/>
      <c r="AI211" s="443" t="n"/>
      <c r="AK211" s="450" t="n"/>
      <c r="AL211" s="438" t="n"/>
      <c r="AN211" s="398" t="n"/>
      <c r="AO211" s="286" t="n"/>
      <c r="AP211" s="450" t="n"/>
      <c r="AR211" s="450" t="n"/>
      <c r="AT211" s="450" t="n"/>
    </row>
    <row r="212">
      <c r="O212" s="443" t="n"/>
      <c r="P212" s="443" t="n"/>
      <c r="Q212" s="443" t="n"/>
      <c r="R212" s="450" t="n"/>
      <c r="T212" s="443" t="n"/>
      <c r="U212" s="443" t="n"/>
      <c r="V212" s="443" t="n"/>
      <c r="W212" s="450" t="n"/>
      <c r="Z212" s="443" t="n"/>
      <c r="AD212" s="450" t="n"/>
      <c r="AF212" s="450" t="n"/>
      <c r="AG212" s="443" t="n"/>
      <c r="AI212" s="443" t="n"/>
      <c r="AK212" s="450" t="n"/>
      <c r="AL212" s="438" t="n"/>
      <c r="AN212" s="398" t="n"/>
      <c r="AO212" s="286" t="n"/>
      <c r="AP212" s="450" t="n"/>
      <c r="AR212" s="450" t="n"/>
      <c r="AT212" s="450" t="n"/>
    </row>
    <row r="213">
      <c r="O213" s="443" t="n"/>
      <c r="P213" s="443" t="n"/>
      <c r="Q213" s="443" t="n"/>
      <c r="R213" s="450" t="n"/>
      <c r="T213" s="443" t="n"/>
      <c r="U213" s="443" t="n"/>
      <c r="V213" s="443" t="n"/>
      <c r="W213" s="450" t="n"/>
      <c r="Z213" s="443" t="n"/>
      <c r="AD213" s="450" t="n"/>
      <c r="AF213" s="450" t="n"/>
      <c r="AG213" s="443" t="n"/>
      <c r="AI213" s="443" t="n"/>
      <c r="AK213" s="450" t="n"/>
      <c r="AL213" s="438" t="n"/>
      <c r="AN213" s="398" t="n"/>
      <c r="AO213" s="286" t="n"/>
      <c r="AP213" s="450" t="n"/>
      <c r="AR213" s="450" t="n"/>
      <c r="AT213" s="450" t="n"/>
    </row>
    <row r="214">
      <c r="O214" s="443" t="n"/>
      <c r="P214" s="443" t="n"/>
      <c r="Q214" s="443" t="n"/>
      <c r="R214" s="450" t="n"/>
      <c r="T214" s="443" t="n"/>
      <c r="U214" s="443" t="n"/>
      <c r="V214" s="443" t="n"/>
      <c r="W214" s="450" t="n"/>
      <c r="Z214" s="443" t="n"/>
      <c r="AD214" s="450" t="n"/>
      <c r="AF214" s="450" t="n"/>
      <c r="AG214" s="443" t="n"/>
      <c r="AI214" s="443" t="n"/>
      <c r="AK214" s="450" t="n"/>
      <c r="AL214" s="438" t="n"/>
      <c r="AN214" s="398" t="n"/>
      <c r="AO214" s="286" t="n"/>
      <c r="AP214" s="450" t="n"/>
      <c r="AR214" s="450" t="n"/>
      <c r="AT214" s="450" t="n"/>
    </row>
    <row r="215">
      <c r="O215" s="443" t="n"/>
      <c r="P215" s="443" t="n"/>
      <c r="Q215" s="443" t="n"/>
      <c r="R215" s="450" t="n"/>
      <c r="T215" s="443" t="n"/>
      <c r="U215" s="443" t="n"/>
      <c r="V215" s="443" t="n"/>
      <c r="W215" s="450" t="n"/>
      <c r="Z215" s="443" t="n"/>
      <c r="AD215" s="450" t="n"/>
      <c r="AF215" s="450" t="n"/>
      <c r="AG215" s="443" t="n"/>
      <c r="AI215" s="443" t="n"/>
      <c r="AK215" s="450" t="n"/>
      <c r="AL215" s="438" t="n"/>
      <c r="AN215" s="398" t="n"/>
      <c r="AO215" s="286" t="n"/>
      <c r="AP215" s="450" t="n"/>
      <c r="AR215" s="450" t="n"/>
      <c r="AT215" s="450" t="n"/>
    </row>
    <row r="216">
      <c r="O216" s="443" t="n"/>
      <c r="P216" s="443" t="n"/>
      <c r="Q216" s="443" t="n"/>
      <c r="R216" s="450" t="n"/>
      <c r="T216" s="443" t="n"/>
      <c r="U216" s="443" t="n"/>
      <c r="V216" s="443" t="n"/>
      <c r="W216" s="450" t="n"/>
      <c r="Z216" s="443" t="n"/>
      <c r="AD216" s="450" t="n"/>
      <c r="AF216" s="450" t="n"/>
      <c r="AG216" s="443" t="n"/>
      <c r="AI216" s="443" t="n"/>
      <c r="AK216" s="450" t="n"/>
      <c r="AL216" s="438" t="n"/>
      <c r="AN216" s="398" t="n"/>
      <c r="AO216" s="286" t="n"/>
      <c r="AP216" s="450" t="n"/>
      <c r="AR216" s="450" t="n"/>
      <c r="AT216" s="450" t="n"/>
    </row>
    <row r="217">
      <c r="O217" s="443" t="n"/>
      <c r="P217" s="443" t="n"/>
      <c r="Q217" s="443" t="n"/>
      <c r="R217" s="450" t="n"/>
      <c r="T217" s="443" t="n"/>
      <c r="U217" s="443" t="n"/>
      <c r="V217" s="443" t="n"/>
      <c r="W217" s="450" t="n"/>
      <c r="Z217" s="443" t="n"/>
      <c r="AD217" s="450" t="n"/>
      <c r="AF217" s="450" t="n"/>
      <c r="AG217" s="443" t="n"/>
      <c r="AI217" s="443" t="n"/>
      <c r="AK217" s="450" t="n"/>
      <c r="AL217" s="438" t="n"/>
      <c r="AN217" s="398" t="n"/>
      <c r="AO217" s="286" t="n"/>
      <c r="AP217" s="450" t="n"/>
      <c r="AR217" s="450" t="n"/>
      <c r="AT217" s="450" t="n"/>
    </row>
    <row r="218">
      <c r="O218" s="443" t="n"/>
      <c r="P218" s="443" t="n"/>
      <c r="Q218" s="443" t="n"/>
      <c r="R218" s="450" t="n"/>
      <c r="T218" s="443" t="n"/>
      <c r="U218" s="443" t="n"/>
      <c r="V218" s="443" t="n"/>
      <c r="W218" s="450" t="n"/>
      <c r="Z218" s="443" t="n"/>
      <c r="AD218" s="450" t="n"/>
      <c r="AF218" s="450" t="n"/>
      <c r="AG218" s="443" t="n"/>
      <c r="AI218" s="443" t="n"/>
      <c r="AK218" s="450" t="n"/>
      <c r="AL218" s="438" t="n"/>
      <c r="AN218" s="398" t="n"/>
      <c r="AO218" s="286" t="n"/>
      <c r="AP218" s="450" t="n"/>
      <c r="AR218" s="450" t="n"/>
      <c r="AT218" s="450" t="n"/>
    </row>
    <row r="219">
      <c r="O219" s="443" t="n"/>
      <c r="P219" s="443" t="n"/>
      <c r="Q219" s="443" t="n"/>
      <c r="R219" s="450" t="n"/>
      <c r="T219" s="443" t="n"/>
      <c r="U219" s="443" t="n"/>
      <c r="V219" s="443" t="n"/>
      <c r="W219" s="450" t="n"/>
      <c r="Z219" s="443" t="n"/>
      <c r="AD219" s="450" t="n"/>
      <c r="AF219" s="450" t="n"/>
      <c r="AG219" s="443" t="n"/>
      <c r="AI219" s="443" t="n"/>
      <c r="AK219" s="450" t="n"/>
      <c r="AL219" s="438" t="n"/>
      <c r="AN219" s="398" t="n"/>
      <c r="AO219" s="286" t="n"/>
      <c r="AP219" s="450" t="n"/>
      <c r="AR219" s="450" t="n"/>
      <c r="AT219" s="450" t="n"/>
    </row>
    <row r="220">
      <c r="O220" s="443" t="n"/>
      <c r="P220" s="443" t="n"/>
      <c r="Q220" s="443" t="n"/>
      <c r="R220" s="450" t="n"/>
      <c r="T220" s="443" t="n"/>
      <c r="U220" s="443" t="n"/>
      <c r="V220" s="443" t="n"/>
      <c r="W220" s="450" t="n"/>
      <c r="Z220" s="443" t="n"/>
      <c r="AD220" s="450" t="n"/>
      <c r="AF220" s="450" t="n"/>
      <c r="AG220" s="443" t="n"/>
      <c r="AI220" s="443" t="n"/>
      <c r="AK220" s="450" t="n"/>
      <c r="AL220" s="438" t="n"/>
      <c r="AN220" s="398" t="n"/>
      <c r="AO220" s="286" t="n"/>
      <c r="AP220" s="450" t="n"/>
      <c r="AR220" s="450" t="n"/>
      <c r="AT220" s="450" t="n"/>
    </row>
    <row r="221">
      <c r="O221" s="443" t="n"/>
      <c r="P221" s="443" t="n"/>
      <c r="Q221" s="443" t="n"/>
      <c r="R221" s="450" t="n"/>
      <c r="T221" s="443" t="n"/>
      <c r="U221" s="443" t="n"/>
      <c r="V221" s="443" t="n"/>
      <c r="W221" s="450" t="n"/>
      <c r="Z221" s="443" t="n"/>
      <c r="AD221" s="450" t="n"/>
      <c r="AF221" s="450" t="n"/>
      <c r="AG221" s="443" t="n"/>
      <c r="AI221" s="443" t="n"/>
      <c r="AK221" s="450" t="n"/>
      <c r="AL221" s="438" t="n"/>
      <c r="AN221" s="398" t="n"/>
      <c r="AO221" s="286" t="n"/>
      <c r="AP221" s="450" t="n"/>
      <c r="AR221" s="450" t="n"/>
      <c r="AT221" s="450" t="n"/>
    </row>
    <row r="222">
      <c r="O222" s="443" t="n"/>
      <c r="P222" s="443" t="n"/>
      <c r="Q222" s="443" t="n"/>
      <c r="R222" s="450" t="n"/>
      <c r="T222" s="443" t="n"/>
      <c r="U222" s="443" t="n"/>
      <c r="V222" s="443" t="n"/>
      <c r="W222" s="450" t="n"/>
      <c r="Z222" s="443" t="n"/>
      <c r="AD222" s="450" t="n"/>
      <c r="AF222" s="450" t="n"/>
      <c r="AG222" s="443" t="n"/>
      <c r="AI222" s="443" t="n"/>
      <c r="AK222" s="450" t="n"/>
      <c r="AL222" s="438" t="n"/>
      <c r="AN222" s="398" t="n"/>
      <c r="AO222" s="286" t="n"/>
      <c r="AP222" s="450" t="n"/>
      <c r="AR222" s="450" t="n"/>
      <c r="AT222" s="450" t="n"/>
    </row>
    <row r="223">
      <c r="O223" s="443" t="n"/>
      <c r="P223" s="443" t="n"/>
      <c r="Q223" s="443" t="n"/>
      <c r="R223" s="450" t="n"/>
      <c r="T223" s="443" t="n"/>
      <c r="U223" s="443" t="n"/>
      <c r="V223" s="443" t="n"/>
      <c r="W223" s="450" t="n"/>
      <c r="Z223" s="443" t="n"/>
      <c r="AD223" s="450" t="n"/>
      <c r="AF223" s="450" t="n"/>
      <c r="AG223" s="443" t="n"/>
      <c r="AI223" s="443" t="n"/>
      <c r="AK223" s="450" t="n"/>
      <c r="AL223" s="438" t="n"/>
      <c r="AN223" s="398" t="n"/>
      <c r="AO223" s="286" t="n"/>
      <c r="AP223" s="450" t="n"/>
      <c r="AR223" s="450" t="n"/>
      <c r="AT223" s="450" t="n"/>
    </row>
    <row r="224">
      <c r="O224" s="443" t="n"/>
      <c r="P224" s="443" t="n"/>
      <c r="Q224" s="443" t="n"/>
      <c r="R224" s="450" t="n"/>
      <c r="T224" s="443" t="n"/>
      <c r="U224" s="443" t="n"/>
      <c r="V224" s="443" t="n"/>
      <c r="W224" s="450" t="n"/>
      <c r="Z224" s="443" t="n"/>
      <c r="AD224" s="450" t="n"/>
      <c r="AF224" s="450" t="n"/>
      <c r="AG224" s="443" t="n"/>
      <c r="AI224" s="443" t="n"/>
      <c r="AK224" s="450" t="n"/>
      <c r="AL224" s="438" t="n"/>
      <c r="AN224" s="398" t="n"/>
      <c r="AO224" s="286" t="n"/>
      <c r="AP224" s="450" t="n"/>
      <c r="AR224" s="450" t="n"/>
      <c r="AT224" s="450" t="n"/>
    </row>
    <row r="225">
      <c r="O225" s="443" t="n"/>
      <c r="P225" s="443" t="n"/>
      <c r="Q225" s="443" t="n"/>
      <c r="R225" s="450" t="n"/>
      <c r="T225" s="443" t="n"/>
      <c r="U225" s="443" t="n"/>
      <c r="V225" s="443" t="n"/>
      <c r="W225" s="450" t="n"/>
      <c r="Z225" s="443" t="n"/>
      <c r="AD225" s="450" t="n"/>
      <c r="AF225" s="450" t="n"/>
      <c r="AG225" s="443" t="n"/>
      <c r="AI225" s="443" t="n"/>
      <c r="AK225" s="450" t="n"/>
      <c r="AL225" s="438" t="n"/>
      <c r="AN225" s="398" t="n"/>
      <c r="AO225" s="286" t="n"/>
      <c r="AP225" s="450" t="n"/>
      <c r="AR225" s="450" t="n"/>
      <c r="AT225" s="450" t="n"/>
    </row>
    <row r="226">
      <c r="O226" s="443" t="n"/>
      <c r="P226" s="443" t="n"/>
      <c r="Q226" s="443" t="n"/>
      <c r="R226" s="450" t="n"/>
      <c r="T226" s="443" t="n"/>
      <c r="U226" s="443" t="n"/>
      <c r="V226" s="443" t="n"/>
      <c r="W226" s="450" t="n"/>
      <c r="Z226" s="443" t="n"/>
      <c r="AD226" s="450" t="n"/>
      <c r="AF226" s="450" t="n"/>
      <c r="AG226" s="443" t="n"/>
      <c r="AI226" s="443" t="n"/>
      <c r="AK226" s="450" t="n"/>
      <c r="AL226" s="438" t="n"/>
      <c r="AN226" s="398" t="n"/>
      <c r="AO226" s="286" t="n"/>
      <c r="AP226" s="450" t="n"/>
      <c r="AR226" s="450" t="n"/>
      <c r="AT226" s="450" t="n"/>
    </row>
    <row r="227">
      <c r="O227" s="443" t="n"/>
      <c r="P227" s="443" t="n"/>
      <c r="Q227" s="443" t="n"/>
      <c r="R227" s="450" t="n"/>
      <c r="T227" s="443" t="n"/>
      <c r="U227" s="443" t="n"/>
      <c r="V227" s="443" t="n"/>
      <c r="W227" s="450" t="n"/>
      <c r="Z227" s="443" t="n"/>
      <c r="AD227" s="450" t="n"/>
      <c r="AF227" s="450" t="n"/>
      <c r="AG227" s="443" t="n"/>
      <c r="AI227" s="443" t="n"/>
      <c r="AK227" s="450" t="n"/>
      <c r="AL227" s="438" t="n"/>
      <c r="AN227" s="398" t="n"/>
      <c r="AO227" s="286" t="n"/>
      <c r="AP227" s="450" t="n"/>
      <c r="AR227" s="450" t="n"/>
      <c r="AT227" s="450" t="n"/>
    </row>
    <row r="228">
      <c r="O228" s="443" t="n"/>
      <c r="P228" s="443" t="n"/>
      <c r="Q228" s="443" t="n"/>
      <c r="R228" s="450" t="n"/>
      <c r="T228" s="443" t="n"/>
      <c r="U228" s="443" t="n"/>
      <c r="V228" s="443" t="n"/>
      <c r="W228" s="450" t="n"/>
      <c r="Z228" s="443" t="n"/>
      <c r="AD228" s="450" t="n"/>
      <c r="AF228" s="450" t="n"/>
      <c r="AG228" s="443" t="n"/>
      <c r="AI228" s="443" t="n"/>
      <c r="AK228" s="450" t="n"/>
      <c r="AL228" s="438" t="n"/>
      <c r="AN228" s="398" t="n"/>
      <c r="AO228" s="286" t="n"/>
      <c r="AP228" s="450" t="n"/>
      <c r="AR228" s="450" t="n"/>
      <c r="AT228" s="450" t="n"/>
    </row>
    <row r="229">
      <c r="O229" s="443" t="n"/>
      <c r="P229" s="443" t="n"/>
      <c r="Q229" s="443" t="n"/>
      <c r="R229" s="450" t="n"/>
      <c r="T229" s="443" t="n"/>
      <c r="U229" s="443" t="n"/>
      <c r="V229" s="443" t="n"/>
      <c r="W229" s="450" t="n"/>
      <c r="Z229" s="443" t="n"/>
      <c r="AD229" s="450" t="n"/>
      <c r="AF229" s="450" t="n"/>
      <c r="AG229" s="443" t="n"/>
      <c r="AI229" s="443" t="n"/>
      <c r="AK229" s="450" t="n"/>
      <c r="AL229" s="438" t="n"/>
      <c r="AN229" s="398" t="n"/>
      <c r="AO229" s="286" t="n"/>
      <c r="AP229" s="450" t="n"/>
      <c r="AR229" s="450" t="n"/>
      <c r="AT229" s="450" t="n"/>
    </row>
    <row r="230">
      <c r="O230" s="443" t="n"/>
      <c r="P230" s="443" t="n"/>
      <c r="Q230" s="443" t="n"/>
      <c r="R230" s="450" t="n"/>
      <c r="T230" s="443" t="n"/>
      <c r="U230" s="443" t="n"/>
      <c r="V230" s="443" t="n"/>
      <c r="W230" s="450" t="n"/>
      <c r="Z230" s="443" t="n"/>
      <c r="AD230" s="450" t="n"/>
      <c r="AF230" s="450" t="n"/>
      <c r="AG230" s="443" t="n"/>
      <c r="AI230" s="443" t="n"/>
      <c r="AK230" s="450" t="n"/>
      <c r="AL230" s="438" t="n"/>
      <c r="AN230" s="398" t="n"/>
      <c r="AO230" s="286" t="n"/>
      <c r="AP230" s="450" t="n"/>
      <c r="AR230" s="450" t="n"/>
      <c r="AT230" s="450" t="n"/>
    </row>
    <row r="231">
      <c r="O231" s="443" t="n"/>
      <c r="P231" s="443" t="n"/>
      <c r="Q231" s="443" t="n"/>
      <c r="R231" s="450" t="n"/>
      <c r="T231" s="443" t="n"/>
      <c r="U231" s="443" t="n"/>
      <c r="V231" s="443" t="n"/>
      <c r="W231" s="450" t="n"/>
      <c r="Z231" s="443" t="n"/>
      <c r="AD231" s="450" t="n"/>
      <c r="AF231" s="450" t="n"/>
      <c r="AG231" s="443" t="n"/>
      <c r="AI231" s="443" t="n"/>
      <c r="AK231" s="450" t="n"/>
      <c r="AL231" s="438" t="n"/>
      <c r="AN231" s="398" t="n"/>
      <c r="AO231" s="286" t="n"/>
      <c r="AP231" s="450" t="n"/>
      <c r="AR231" s="450" t="n"/>
      <c r="AT231" s="450" t="n"/>
    </row>
    <row r="232">
      <c r="O232" s="443" t="n"/>
      <c r="P232" s="443" t="n"/>
      <c r="Q232" s="443" t="n"/>
      <c r="R232" s="450" t="n"/>
      <c r="T232" s="443" t="n"/>
      <c r="U232" s="443" t="n"/>
      <c r="V232" s="443" t="n"/>
      <c r="W232" s="450" t="n"/>
      <c r="Z232" s="443" t="n"/>
      <c r="AD232" s="450" t="n"/>
      <c r="AF232" s="450" t="n"/>
      <c r="AG232" s="443" t="n"/>
      <c r="AI232" s="443" t="n"/>
      <c r="AK232" s="450" t="n"/>
      <c r="AL232" s="438" t="n"/>
      <c r="AN232" s="398" t="n"/>
      <c r="AO232" s="286" t="n"/>
      <c r="AP232" s="450" t="n"/>
      <c r="AR232" s="450" t="n"/>
      <c r="AT232" s="450" t="n"/>
    </row>
    <row r="233">
      <c r="O233" s="443" t="n"/>
      <c r="P233" s="443" t="n"/>
      <c r="Q233" s="443" t="n"/>
      <c r="R233" s="450" t="n"/>
      <c r="T233" s="443" t="n"/>
      <c r="U233" s="443" t="n"/>
      <c r="V233" s="443" t="n"/>
      <c r="W233" s="450" t="n"/>
      <c r="Z233" s="443" t="n"/>
      <c r="AD233" s="450" t="n"/>
      <c r="AF233" s="450" t="n"/>
      <c r="AG233" s="443" t="n"/>
      <c r="AI233" s="443" t="n"/>
      <c r="AK233" s="450" t="n"/>
      <c r="AL233" s="438" t="n"/>
      <c r="AN233" s="398" t="n"/>
      <c r="AO233" s="286" t="n"/>
      <c r="AP233" s="450" t="n"/>
      <c r="AR233" s="450" t="n"/>
      <c r="AT233" s="450" t="n"/>
    </row>
    <row r="234">
      <c r="O234" s="443" t="n"/>
      <c r="P234" s="443" t="n"/>
      <c r="Q234" s="443" t="n"/>
      <c r="R234" s="450" t="n"/>
      <c r="T234" s="443" t="n"/>
      <c r="U234" s="443" t="n"/>
      <c r="V234" s="443" t="n"/>
      <c r="W234" s="450" t="n"/>
      <c r="Z234" s="443" t="n"/>
      <c r="AD234" s="450" t="n"/>
      <c r="AF234" s="450" t="n"/>
      <c r="AG234" s="443" t="n"/>
      <c r="AI234" s="443" t="n"/>
      <c r="AK234" s="450" t="n"/>
      <c r="AL234" s="438" t="n"/>
      <c r="AN234" s="398" t="n"/>
      <c r="AO234" s="286" t="n"/>
      <c r="AP234" s="450" t="n"/>
      <c r="AR234" s="450" t="n"/>
      <c r="AT234" s="450" t="n"/>
    </row>
    <row r="235">
      <c r="O235" s="443" t="n"/>
      <c r="P235" s="443" t="n"/>
      <c r="Q235" s="443" t="n"/>
      <c r="R235" s="450" t="n"/>
      <c r="T235" s="443" t="n"/>
      <c r="U235" s="443" t="n"/>
      <c r="V235" s="443" t="n"/>
      <c r="W235" s="450" t="n"/>
      <c r="Z235" s="443" t="n"/>
      <c r="AD235" s="450" t="n"/>
      <c r="AF235" s="450" t="n"/>
      <c r="AG235" s="443" t="n"/>
      <c r="AI235" s="443" t="n"/>
      <c r="AK235" s="450" t="n"/>
      <c r="AL235" s="438" t="n"/>
      <c r="AN235" s="398" t="n"/>
      <c r="AO235" s="286" t="n"/>
      <c r="AP235" s="450" t="n"/>
      <c r="AR235" s="450" t="n"/>
      <c r="AT235" s="450" t="n"/>
    </row>
    <row r="236">
      <c r="O236" s="443" t="n"/>
      <c r="P236" s="443" t="n"/>
      <c r="Q236" s="443" t="n"/>
      <c r="R236" s="450" t="n"/>
      <c r="T236" s="443" t="n"/>
      <c r="U236" s="443" t="n"/>
      <c r="V236" s="443" t="n"/>
      <c r="W236" s="450" t="n"/>
      <c r="Z236" s="443" t="n"/>
      <c r="AD236" s="450" t="n"/>
      <c r="AF236" s="450" t="n"/>
      <c r="AG236" s="443" t="n"/>
      <c r="AI236" s="443" t="n"/>
      <c r="AK236" s="450" t="n"/>
      <c r="AL236" s="438" t="n"/>
      <c r="AN236" s="398" t="n"/>
      <c r="AO236" s="286" t="n"/>
      <c r="AP236" s="450" t="n"/>
      <c r="AR236" s="450" t="n"/>
      <c r="AT236" s="450" t="n"/>
    </row>
    <row r="237">
      <c r="O237" s="443" t="n"/>
      <c r="P237" s="443" t="n"/>
      <c r="Q237" s="443" t="n"/>
      <c r="R237" s="450" t="n"/>
      <c r="T237" s="443" t="n"/>
      <c r="U237" s="443" t="n"/>
      <c r="V237" s="443" t="n"/>
      <c r="W237" s="450" t="n"/>
      <c r="Z237" s="443" t="n"/>
      <c r="AD237" s="450" t="n"/>
      <c r="AF237" s="450" t="n"/>
      <c r="AG237" s="443" t="n"/>
      <c r="AI237" s="443" t="n"/>
      <c r="AK237" s="450" t="n"/>
      <c r="AL237" s="438" t="n"/>
      <c r="AN237" s="398" t="n"/>
      <c r="AO237" s="286" t="n"/>
      <c r="AP237" s="450" t="n"/>
      <c r="AR237" s="450" t="n"/>
      <c r="AT237" s="450" t="n"/>
    </row>
    <row r="238">
      <c r="O238" s="443" t="n"/>
      <c r="P238" s="443" t="n"/>
      <c r="Q238" s="443" t="n"/>
      <c r="R238" s="450" t="n"/>
      <c r="T238" s="443" t="n"/>
      <c r="U238" s="443" t="n"/>
      <c r="V238" s="443" t="n"/>
      <c r="W238" s="450" t="n"/>
      <c r="Z238" s="443" t="n"/>
      <c r="AD238" s="450" t="n"/>
      <c r="AF238" s="450" t="n"/>
      <c r="AG238" s="443" t="n"/>
      <c r="AI238" s="443" t="n"/>
      <c r="AK238" s="450" t="n"/>
      <c r="AL238" s="438" t="n"/>
      <c r="AN238" s="398" t="n"/>
      <c r="AO238" s="286" t="n"/>
      <c r="AP238" s="450" t="n"/>
      <c r="AR238" s="450" t="n"/>
      <c r="AT238" s="450" t="n"/>
    </row>
    <row r="239">
      <c r="O239" s="443" t="n"/>
      <c r="P239" s="443" t="n"/>
      <c r="Q239" s="443" t="n"/>
      <c r="R239" s="450" t="n"/>
      <c r="T239" s="443" t="n"/>
      <c r="U239" s="443" t="n"/>
      <c r="V239" s="443" t="n"/>
      <c r="W239" s="450" t="n"/>
      <c r="Z239" s="443" t="n"/>
      <c r="AD239" s="450" t="n"/>
      <c r="AF239" s="450" t="n"/>
      <c r="AG239" s="443" t="n"/>
      <c r="AI239" s="443" t="n"/>
      <c r="AK239" s="450" t="n"/>
      <c r="AL239" s="438" t="n"/>
      <c r="AN239" s="398" t="n"/>
      <c r="AO239" s="286" t="n"/>
      <c r="AP239" s="450" t="n"/>
      <c r="AR239" s="450" t="n"/>
      <c r="AT239" s="450" t="n"/>
    </row>
    <row r="240">
      <c r="O240" s="443" t="n"/>
      <c r="P240" s="443" t="n"/>
      <c r="Q240" s="443" t="n"/>
      <c r="R240" s="450" t="n"/>
      <c r="T240" s="443" t="n"/>
      <c r="U240" s="443" t="n"/>
      <c r="V240" s="443" t="n"/>
      <c r="W240" s="450" t="n"/>
      <c r="Z240" s="443" t="n"/>
      <c r="AD240" s="450" t="n"/>
      <c r="AF240" s="450" t="n"/>
      <c r="AG240" s="443" t="n"/>
      <c r="AI240" s="443" t="n"/>
      <c r="AK240" s="450" t="n"/>
      <c r="AL240" s="438" t="n"/>
      <c r="AN240" s="398" t="n"/>
      <c r="AO240" s="286" t="n"/>
      <c r="AP240" s="450" t="n"/>
      <c r="AR240" s="450" t="n"/>
      <c r="AT240" s="450" t="n"/>
    </row>
    <row r="241">
      <c r="O241" s="443" t="n"/>
      <c r="P241" s="443" t="n"/>
      <c r="Q241" s="443" t="n"/>
      <c r="R241" s="450" t="n"/>
      <c r="T241" s="443" t="n"/>
      <c r="U241" s="443" t="n"/>
      <c r="V241" s="443" t="n"/>
      <c r="W241" s="450" t="n"/>
      <c r="Z241" s="443" t="n"/>
      <c r="AD241" s="450" t="n"/>
      <c r="AF241" s="450" t="n"/>
      <c r="AG241" s="443" t="n"/>
      <c r="AI241" s="443" t="n"/>
      <c r="AK241" s="450" t="n"/>
      <c r="AL241" s="438" t="n"/>
      <c r="AN241" s="398" t="n"/>
      <c r="AO241" s="286" t="n"/>
      <c r="AP241" s="450" t="n"/>
      <c r="AR241" s="450" t="n"/>
      <c r="AT241" s="450" t="n"/>
    </row>
    <row r="242">
      <c r="O242" s="443" t="n"/>
      <c r="P242" s="443" t="n"/>
      <c r="Q242" s="443" t="n"/>
      <c r="R242" s="450" t="n"/>
      <c r="T242" s="443" t="n"/>
      <c r="U242" s="443" t="n"/>
      <c r="V242" s="443" t="n"/>
      <c r="W242" s="450" t="n"/>
      <c r="Z242" s="443" t="n"/>
      <c r="AD242" s="450" t="n"/>
      <c r="AF242" s="450" t="n"/>
      <c r="AG242" s="443" t="n"/>
      <c r="AI242" s="443" t="n"/>
      <c r="AK242" s="450" t="n"/>
      <c r="AL242" s="438" t="n"/>
      <c r="AN242" s="398" t="n"/>
      <c r="AO242" s="286" t="n"/>
      <c r="AP242" s="450" t="n"/>
      <c r="AR242" s="450" t="n"/>
      <c r="AT242" s="450" t="n"/>
    </row>
    <row r="243">
      <c r="O243" s="443" t="n"/>
      <c r="P243" s="443" t="n"/>
      <c r="Q243" s="443" t="n"/>
      <c r="R243" s="450" t="n"/>
      <c r="T243" s="443" t="n"/>
      <c r="U243" s="443" t="n"/>
      <c r="V243" s="443" t="n"/>
      <c r="W243" s="450" t="n"/>
      <c r="Z243" s="443" t="n"/>
      <c r="AD243" s="450" t="n"/>
      <c r="AF243" s="450" t="n"/>
      <c r="AG243" s="443" t="n"/>
      <c r="AI243" s="443" t="n"/>
      <c r="AK243" s="450" t="n"/>
      <c r="AL243" s="438" t="n"/>
      <c r="AN243" s="398" t="n"/>
      <c r="AO243" s="286" t="n"/>
      <c r="AP243" s="450" t="n"/>
      <c r="AR243" s="450" t="n"/>
      <c r="AT243" s="450" t="n"/>
    </row>
    <row r="244">
      <c r="O244" s="443" t="n"/>
      <c r="P244" s="443" t="n"/>
      <c r="Q244" s="443" t="n"/>
      <c r="R244" s="450" t="n"/>
      <c r="T244" s="443" t="n"/>
      <c r="U244" s="443" t="n"/>
      <c r="V244" s="443" t="n"/>
      <c r="W244" s="450" t="n"/>
      <c r="Z244" s="443" t="n"/>
      <c r="AD244" s="450" t="n"/>
      <c r="AF244" s="450" t="n"/>
      <c r="AG244" s="443" t="n"/>
      <c r="AI244" s="443" t="n"/>
      <c r="AK244" s="450" t="n"/>
      <c r="AL244" s="438" t="n"/>
      <c r="AN244" s="398" t="n"/>
      <c r="AO244" s="286" t="n"/>
      <c r="AP244" s="450" t="n"/>
      <c r="AR244" s="450" t="n"/>
      <c r="AT244" s="450" t="n"/>
    </row>
    <row r="245">
      <c r="O245" s="443" t="n"/>
      <c r="P245" s="443" t="n"/>
      <c r="Q245" s="443" t="n"/>
      <c r="R245" s="450" t="n"/>
      <c r="T245" s="443" t="n"/>
      <c r="U245" s="443" t="n"/>
      <c r="V245" s="443" t="n"/>
      <c r="W245" s="450" t="n"/>
      <c r="Z245" s="443" t="n"/>
      <c r="AD245" s="450" t="n"/>
      <c r="AF245" s="450" t="n"/>
      <c r="AG245" s="443" t="n"/>
      <c r="AI245" s="443" t="n"/>
      <c r="AK245" s="450" t="n"/>
      <c r="AL245" s="438" t="n"/>
      <c r="AN245" s="398" t="n"/>
      <c r="AO245" s="286" t="n"/>
      <c r="AP245" s="450" t="n"/>
      <c r="AR245" s="450" t="n"/>
      <c r="AT245" s="450" t="n"/>
    </row>
    <row r="246">
      <c r="O246" s="443" t="n"/>
      <c r="P246" s="443" t="n"/>
      <c r="Q246" s="443" t="n"/>
      <c r="R246" s="450" t="n"/>
      <c r="T246" s="443" t="n"/>
      <c r="U246" s="443" t="n"/>
      <c r="V246" s="443" t="n"/>
      <c r="W246" s="450" t="n"/>
      <c r="Z246" s="443" t="n"/>
      <c r="AD246" s="450" t="n"/>
      <c r="AF246" s="450" t="n"/>
      <c r="AG246" s="443" t="n"/>
      <c r="AI246" s="443" t="n"/>
      <c r="AK246" s="450" t="n"/>
      <c r="AL246" s="438" t="n"/>
      <c r="AN246" s="398" t="n"/>
      <c r="AO246" s="286" t="n"/>
      <c r="AP246" s="450" t="n"/>
      <c r="AR246" s="450" t="n"/>
      <c r="AT246" s="450" t="n"/>
    </row>
    <row r="247">
      <c r="O247" s="443" t="n"/>
      <c r="P247" s="443" t="n"/>
      <c r="Q247" s="443" t="n"/>
      <c r="R247" s="450" t="n"/>
      <c r="T247" s="443" t="n"/>
      <c r="U247" s="443" t="n"/>
      <c r="V247" s="443" t="n"/>
      <c r="W247" s="450" t="n"/>
      <c r="Z247" s="443" t="n"/>
      <c r="AD247" s="450" t="n"/>
      <c r="AF247" s="450" t="n"/>
      <c r="AG247" s="443" t="n"/>
      <c r="AI247" s="443" t="n"/>
      <c r="AK247" s="450" t="n"/>
      <c r="AL247" s="438" t="n"/>
      <c r="AN247" s="398" t="n"/>
      <c r="AO247" s="286" t="n"/>
      <c r="AP247" s="450" t="n"/>
      <c r="AR247" s="450" t="n"/>
      <c r="AT247" s="450" t="n"/>
    </row>
    <row r="248">
      <c r="O248" s="443" t="n"/>
      <c r="P248" s="443" t="n"/>
      <c r="Q248" s="443" t="n"/>
      <c r="R248" s="450" t="n"/>
      <c r="T248" s="443" t="n"/>
      <c r="U248" s="443" t="n"/>
      <c r="V248" s="443" t="n"/>
      <c r="W248" s="450" t="n"/>
      <c r="Z248" s="443" t="n"/>
      <c r="AD248" s="450" t="n"/>
      <c r="AF248" s="450" t="n"/>
      <c r="AG248" s="443" t="n"/>
      <c r="AI248" s="443" t="n"/>
      <c r="AK248" s="450" t="n"/>
      <c r="AL248" s="438" t="n"/>
      <c r="AN248" s="398" t="n"/>
      <c r="AO248" s="286" t="n"/>
      <c r="AP248" s="450" t="n"/>
      <c r="AR248" s="450" t="n"/>
      <c r="AT248" s="450" t="n"/>
    </row>
    <row r="249">
      <c r="O249" s="443" t="n"/>
      <c r="P249" s="443" t="n"/>
      <c r="Q249" s="443" t="n"/>
      <c r="R249" s="450" t="n"/>
      <c r="T249" s="443" t="n"/>
      <c r="U249" s="443" t="n"/>
      <c r="V249" s="443" t="n"/>
      <c r="W249" s="450" t="n"/>
      <c r="Z249" s="443" t="n"/>
      <c r="AD249" s="450" t="n"/>
      <c r="AF249" s="450" t="n"/>
      <c r="AG249" s="443" t="n"/>
      <c r="AI249" s="443" t="n"/>
      <c r="AK249" s="450" t="n"/>
      <c r="AL249" s="438" t="n"/>
      <c r="AN249" s="398" t="n"/>
      <c r="AO249" s="286" t="n"/>
      <c r="AP249" s="450" t="n"/>
      <c r="AR249" s="450" t="n"/>
      <c r="AT249" s="450" t="n"/>
    </row>
    <row r="250">
      <c r="O250" s="443" t="n"/>
      <c r="P250" s="443" t="n"/>
      <c r="Q250" s="443" t="n"/>
      <c r="R250" s="450" t="n"/>
      <c r="T250" s="443" t="n"/>
      <c r="U250" s="443" t="n"/>
      <c r="V250" s="443" t="n"/>
      <c r="W250" s="450" t="n"/>
      <c r="Z250" s="443" t="n"/>
      <c r="AD250" s="450" t="n"/>
      <c r="AF250" s="450" t="n"/>
      <c r="AG250" s="443" t="n"/>
      <c r="AI250" s="443" t="n"/>
      <c r="AK250" s="450" t="n"/>
      <c r="AL250" s="438" t="n"/>
      <c r="AN250" s="398" t="n"/>
      <c r="AO250" s="286" t="n"/>
      <c r="AP250" s="450" t="n"/>
      <c r="AR250" s="450" t="n"/>
      <c r="AT250" s="450" t="n"/>
    </row>
    <row r="251">
      <c r="O251" s="443" t="n"/>
      <c r="P251" s="443" t="n"/>
      <c r="Q251" s="443" t="n"/>
      <c r="R251" s="450" t="n"/>
      <c r="T251" s="443" t="n"/>
      <c r="U251" s="443" t="n"/>
      <c r="V251" s="443" t="n"/>
      <c r="W251" s="450" t="n"/>
      <c r="Z251" s="443" t="n"/>
      <c r="AD251" s="450" t="n"/>
      <c r="AF251" s="450" t="n"/>
      <c r="AG251" s="443" t="n"/>
      <c r="AI251" s="443" t="n"/>
      <c r="AK251" s="450" t="n"/>
      <c r="AL251" s="438" t="n"/>
      <c r="AN251" s="398" t="n"/>
      <c r="AO251" s="286" t="n"/>
      <c r="AP251" s="450" t="n"/>
      <c r="AR251" s="450" t="n"/>
      <c r="AT251" s="450" t="n"/>
    </row>
    <row r="252">
      <c r="O252" s="443" t="n"/>
      <c r="P252" s="443" t="n"/>
      <c r="Q252" s="443" t="n"/>
      <c r="R252" s="450" t="n"/>
      <c r="T252" s="443" t="n"/>
      <c r="U252" s="443" t="n"/>
      <c r="V252" s="443" t="n"/>
      <c r="W252" s="450" t="n"/>
      <c r="Z252" s="443" t="n"/>
      <c r="AD252" s="450" t="n"/>
      <c r="AF252" s="450" t="n"/>
      <c r="AG252" s="443" t="n"/>
      <c r="AI252" s="443" t="n"/>
      <c r="AK252" s="450" t="n"/>
      <c r="AL252" s="438" t="n"/>
      <c r="AN252" s="398" t="n"/>
      <c r="AO252" s="286" t="n"/>
      <c r="AP252" s="450" t="n"/>
      <c r="AR252" s="450" t="n"/>
      <c r="AT252" s="450" t="n"/>
    </row>
    <row r="253">
      <c r="O253" s="443" t="n"/>
      <c r="P253" s="443" t="n"/>
      <c r="Q253" s="443" t="n"/>
      <c r="R253" s="450" t="n"/>
      <c r="T253" s="443" t="n"/>
      <c r="U253" s="443" t="n"/>
      <c r="V253" s="443" t="n"/>
      <c r="W253" s="450" t="n"/>
      <c r="Z253" s="443" t="n"/>
      <c r="AD253" s="450" t="n"/>
      <c r="AF253" s="450" t="n"/>
      <c r="AG253" s="443" t="n"/>
      <c r="AI253" s="443" t="n"/>
      <c r="AK253" s="450" t="n"/>
      <c r="AL253" s="438" t="n"/>
      <c r="AN253" s="398" t="n"/>
      <c r="AO253" s="286" t="n"/>
      <c r="AP253" s="450" t="n"/>
      <c r="AR253" s="450" t="n"/>
      <c r="AT253" s="450" t="n"/>
    </row>
    <row r="254">
      <c r="O254" s="443" t="n"/>
      <c r="P254" s="443" t="n"/>
      <c r="Q254" s="443" t="n"/>
      <c r="R254" s="450" t="n"/>
      <c r="T254" s="443" t="n"/>
      <c r="U254" s="443" t="n"/>
      <c r="V254" s="443" t="n"/>
      <c r="W254" s="450" t="n"/>
      <c r="Z254" s="443" t="n"/>
      <c r="AD254" s="450" t="n"/>
      <c r="AF254" s="450" t="n"/>
      <c r="AG254" s="443" t="n"/>
      <c r="AI254" s="443" t="n"/>
      <c r="AK254" s="450" t="n"/>
      <c r="AL254" s="438" t="n"/>
      <c r="AN254" s="398" t="n"/>
      <c r="AO254" s="286" t="n"/>
      <c r="AP254" s="450" t="n"/>
      <c r="AR254" s="450" t="n"/>
      <c r="AT254" s="450" t="n"/>
    </row>
    <row r="255">
      <c r="O255" s="443" t="n"/>
      <c r="P255" s="443" t="n"/>
      <c r="Q255" s="443" t="n"/>
      <c r="R255" s="450" t="n"/>
      <c r="T255" s="443" t="n"/>
      <c r="U255" s="443" t="n"/>
      <c r="V255" s="443" t="n"/>
      <c r="W255" s="450" t="n"/>
      <c r="Z255" s="443" t="n"/>
      <c r="AD255" s="450" t="n"/>
      <c r="AF255" s="450" t="n"/>
      <c r="AG255" s="443" t="n"/>
      <c r="AI255" s="443" t="n"/>
      <c r="AK255" s="450" t="n"/>
      <c r="AL255" s="438" t="n"/>
      <c r="AN255" s="398" t="n"/>
      <c r="AO255" s="286" t="n"/>
      <c r="AP255" s="450" t="n"/>
      <c r="AR255" s="450" t="n"/>
      <c r="AT255" s="450" t="n"/>
    </row>
    <row r="256">
      <c r="O256" s="443" t="n"/>
      <c r="P256" s="443" t="n"/>
      <c r="Q256" s="443" t="n"/>
      <c r="R256" s="450" t="n"/>
      <c r="T256" s="443" t="n"/>
      <c r="U256" s="443" t="n"/>
      <c r="V256" s="443" t="n"/>
      <c r="W256" s="450" t="n"/>
      <c r="Z256" s="443" t="n"/>
      <c r="AD256" s="450" t="n"/>
      <c r="AF256" s="450" t="n"/>
      <c r="AG256" s="443" t="n"/>
      <c r="AI256" s="443" t="n"/>
      <c r="AK256" s="450" t="n"/>
      <c r="AL256" s="438" t="n"/>
      <c r="AN256" s="398" t="n"/>
      <c r="AO256" s="286" t="n"/>
      <c r="AP256" s="450" t="n"/>
      <c r="AR256" s="450" t="n"/>
      <c r="AT256" s="450" t="n"/>
    </row>
    <row r="257">
      <c r="O257" s="443" t="n"/>
      <c r="P257" s="443" t="n"/>
      <c r="Q257" s="443" t="n"/>
      <c r="R257" s="450" t="n"/>
      <c r="T257" s="443" t="n"/>
      <c r="U257" s="443" t="n"/>
      <c r="V257" s="443" t="n"/>
      <c r="W257" s="450" t="n"/>
      <c r="Z257" s="443" t="n"/>
      <c r="AD257" s="450" t="n"/>
      <c r="AF257" s="450" t="n"/>
      <c r="AG257" s="443" t="n"/>
      <c r="AI257" s="443" t="n"/>
      <c r="AK257" s="450" t="n"/>
      <c r="AL257" s="438" t="n"/>
      <c r="AN257" s="398" t="n"/>
      <c r="AO257" s="286" t="n"/>
      <c r="AP257" s="450" t="n"/>
      <c r="AR257" s="450" t="n"/>
      <c r="AT257" s="450" t="n"/>
    </row>
    <row r="258">
      <c r="O258" s="443" t="n"/>
      <c r="P258" s="443" t="n"/>
      <c r="Q258" s="443" t="n"/>
      <c r="R258" s="450" t="n"/>
      <c r="T258" s="443" t="n"/>
      <c r="U258" s="443" t="n"/>
      <c r="V258" s="443" t="n"/>
      <c r="W258" s="450" t="n"/>
      <c r="Z258" s="443" t="n"/>
      <c r="AD258" s="450" t="n"/>
      <c r="AF258" s="450" t="n"/>
      <c r="AG258" s="443" t="n"/>
      <c r="AI258" s="443" t="n"/>
      <c r="AK258" s="450" t="n"/>
      <c r="AL258" s="438" t="n"/>
      <c r="AN258" s="398" t="n"/>
      <c r="AO258" s="286" t="n"/>
      <c r="AP258" s="450" t="n"/>
      <c r="AR258" s="450" t="n"/>
      <c r="AT258" s="450" t="n"/>
    </row>
    <row r="259">
      <c r="O259" s="443" t="n"/>
      <c r="P259" s="443" t="n"/>
      <c r="Q259" s="443" t="n"/>
      <c r="R259" s="450" t="n"/>
      <c r="T259" s="443" t="n"/>
      <c r="U259" s="443" t="n"/>
      <c r="V259" s="443" t="n"/>
      <c r="W259" s="450" t="n"/>
      <c r="Z259" s="443" t="n"/>
      <c r="AD259" s="450" t="n"/>
      <c r="AF259" s="450" t="n"/>
      <c r="AG259" s="443" t="n"/>
      <c r="AI259" s="443" t="n"/>
      <c r="AK259" s="450" t="n"/>
      <c r="AL259" s="438" t="n"/>
      <c r="AN259" s="398" t="n"/>
      <c r="AO259" s="286" t="n"/>
      <c r="AP259" s="450" t="n"/>
      <c r="AR259" s="450" t="n"/>
      <c r="AT259" s="450" t="n"/>
    </row>
    <row r="260">
      <c r="O260" s="443" t="n"/>
      <c r="P260" s="443" t="n"/>
      <c r="Q260" s="443" t="n"/>
      <c r="R260" s="450" t="n"/>
      <c r="T260" s="443" t="n"/>
      <c r="U260" s="443" t="n"/>
      <c r="V260" s="443" t="n"/>
      <c r="W260" s="450" t="n"/>
      <c r="Z260" s="443" t="n"/>
      <c r="AD260" s="450" t="n"/>
      <c r="AF260" s="450" t="n"/>
      <c r="AG260" s="443" t="n"/>
      <c r="AI260" s="443" t="n"/>
      <c r="AK260" s="450" t="n"/>
      <c r="AL260" s="438" t="n"/>
      <c r="AN260" s="398" t="n"/>
      <c r="AO260" s="286" t="n"/>
      <c r="AP260" s="450" t="n"/>
      <c r="AR260" s="450" t="n"/>
      <c r="AT260" s="450" t="n"/>
    </row>
    <row r="261">
      <c r="O261" s="443" t="n"/>
      <c r="P261" s="443" t="n"/>
      <c r="Q261" s="443" t="n"/>
      <c r="R261" s="450" t="n"/>
      <c r="T261" s="443" t="n"/>
      <c r="U261" s="443" t="n"/>
      <c r="V261" s="443" t="n"/>
      <c r="W261" s="450" t="n"/>
      <c r="Z261" s="443" t="n"/>
      <c r="AD261" s="450" t="n"/>
      <c r="AF261" s="450" t="n"/>
      <c r="AG261" s="443" t="n"/>
      <c r="AI261" s="443" t="n"/>
      <c r="AK261" s="450" t="n"/>
      <c r="AL261" s="438" t="n"/>
      <c r="AN261" s="398" t="n"/>
      <c r="AO261" s="286" t="n"/>
      <c r="AP261" s="450" t="n"/>
      <c r="AR261" s="450" t="n"/>
      <c r="AT261" s="450" t="n"/>
    </row>
    <row r="262">
      <c r="O262" s="443" t="n"/>
      <c r="P262" s="443" t="n"/>
      <c r="Q262" s="443" t="n"/>
      <c r="R262" s="450" t="n"/>
      <c r="T262" s="443" t="n"/>
      <c r="U262" s="443" t="n"/>
      <c r="V262" s="443" t="n"/>
      <c r="W262" s="450" t="n"/>
      <c r="Z262" s="443" t="n"/>
      <c r="AD262" s="450" t="n"/>
      <c r="AF262" s="450" t="n"/>
      <c r="AG262" s="443" t="n"/>
      <c r="AI262" s="443" t="n"/>
      <c r="AK262" s="450" t="n"/>
      <c r="AL262" s="438" t="n"/>
      <c r="AN262" s="398" t="n"/>
      <c r="AO262" s="286" t="n"/>
      <c r="AP262" s="450" t="n"/>
      <c r="AR262" s="450" t="n"/>
      <c r="AT262" s="450" t="n"/>
    </row>
    <row r="263">
      <c r="O263" s="443" t="n"/>
      <c r="P263" s="443" t="n"/>
      <c r="Q263" s="443" t="n"/>
      <c r="R263" s="450" t="n"/>
      <c r="T263" s="443" t="n"/>
      <c r="U263" s="443" t="n"/>
      <c r="V263" s="443" t="n"/>
      <c r="W263" s="450" t="n"/>
      <c r="Z263" s="443" t="n"/>
      <c r="AD263" s="450" t="n"/>
      <c r="AF263" s="450" t="n"/>
      <c r="AG263" s="443" t="n"/>
      <c r="AI263" s="443" t="n"/>
      <c r="AK263" s="450" t="n"/>
      <c r="AL263" s="438" t="n"/>
      <c r="AN263" s="398" t="n"/>
      <c r="AO263" s="286" t="n"/>
      <c r="AP263" s="450" t="n"/>
      <c r="AR263" s="450" t="n"/>
      <c r="AT263" s="450" t="n"/>
    </row>
    <row r="264">
      <c r="O264" s="443" t="n"/>
      <c r="P264" s="443" t="n"/>
      <c r="Q264" s="443" t="n"/>
      <c r="R264" s="450" t="n"/>
      <c r="T264" s="443" t="n"/>
      <c r="U264" s="443" t="n"/>
      <c r="V264" s="443" t="n"/>
      <c r="W264" s="450" t="n"/>
      <c r="Z264" s="443" t="n"/>
      <c r="AD264" s="450" t="n"/>
      <c r="AF264" s="450" t="n"/>
      <c r="AG264" s="443" t="n"/>
      <c r="AI264" s="443" t="n"/>
      <c r="AK264" s="450" t="n"/>
      <c r="AL264" s="438" t="n"/>
      <c r="AN264" s="398" t="n"/>
      <c r="AO264" s="286" t="n"/>
      <c r="AP264" s="450" t="n"/>
      <c r="AR264" s="450" t="n"/>
      <c r="AT264" s="450" t="n"/>
    </row>
    <row r="265">
      <c r="O265" s="443" t="n"/>
      <c r="P265" s="443" t="n"/>
      <c r="Q265" s="443" t="n"/>
      <c r="R265" s="450" t="n"/>
      <c r="T265" s="443" t="n"/>
      <c r="U265" s="443" t="n"/>
      <c r="V265" s="443" t="n"/>
      <c r="W265" s="450" t="n"/>
      <c r="Z265" s="443" t="n"/>
      <c r="AD265" s="450" t="n"/>
      <c r="AF265" s="450" t="n"/>
      <c r="AG265" s="443" t="n"/>
      <c r="AI265" s="443" t="n"/>
      <c r="AK265" s="450" t="n"/>
      <c r="AL265" s="438" t="n"/>
      <c r="AN265" s="398" t="n"/>
      <c r="AO265" s="286" t="n"/>
      <c r="AP265" s="450" t="n"/>
      <c r="AR265" s="450" t="n"/>
      <c r="AT265" s="450" t="n"/>
    </row>
    <row r="266">
      <c r="O266" s="443" t="n"/>
      <c r="P266" s="443" t="n"/>
      <c r="Q266" s="443" t="n"/>
      <c r="R266" s="450" t="n"/>
      <c r="T266" s="443" t="n"/>
      <c r="U266" s="443" t="n"/>
      <c r="V266" s="443" t="n"/>
      <c r="W266" s="450" t="n"/>
      <c r="Z266" s="443" t="n"/>
      <c r="AD266" s="450" t="n"/>
      <c r="AF266" s="450" t="n"/>
      <c r="AG266" s="443" t="n"/>
      <c r="AI266" s="443" t="n"/>
      <c r="AK266" s="450" t="n"/>
      <c r="AL266" s="438" t="n"/>
      <c r="AN266" s="398" t="n"/>
      <c r="AO266" s="286" t="n"/>
      <c r="AP266" s="450" t="n"/>
      <c r="AR266" s="450" t="n"/>
      <c r="AT266" s="450" t="n"/>
    </row>
    <row r="267">
      <c r="O267" s="443" t="n"/>
      <c r="P267" s="443" t="n"/>
      <c r="Q267" s="443" t="n"/>
      <c r="R267" s="450" t="n"/>
      <c r="T267" s="443" t="n"/>
      <c r="U267" s="443" t="n"/>
      <c r="V267" s="443" t="n"/>
      <c r="W267" s="450" t="n"/>
      <c r="Z267" s="443" t="n"/>
      <c r="AD267" s="450" t="n"/>
      <c r="AF267" s="450" t="n"/>
      <c r="AG267" s="443" t="n"/>
      <c r="AI267" s="443" t="n"/>
      <c r="AK267" s="450" t="n"/>
      <c r="AL267" s="438" t="n"/>
      <c r="AN267" s="398" t="n"/>
      <c r="AO267" s="286" t="n"/>
      <c r="AP267" s="450" t="n"/>
      <c r="AR267" s="450" t="n"/>
      <c r="AT267" s="450" t="n"/>
    </row>
    <row r="268">
      <c r="O268" s="443" t="n"/>
      <c r="P268" s="443" t="n"/>
      <c r="Q268" s="443" t="n"/>
      <c r="R268" s="450" t="n"/>
      <c r="T268" s="443" t="n"/>
      <c r="U268" s="443" t="n"/>
      <c r="V268" s="443" t="n"/>
      <c r="W268" s="450" t="n"/>
      <c r="Z268" s="443" t="n"/>
      <c r="AD268" s="450" t="n"/>
      <c r="AF268" s="450" t="n"/>
      <c r="AG268" s="443" t="n"/>
      <c r="AI268" s="443" t="n"/>
      <c r="AK268" s="450" t="n"/>
      <c r="AL268" s="438" t="n"/>
      <c r="AN268" s="398" t="n"/>
      <c r="AO268" s="286" t="n"/>
      <c r="AP268" s="450" t="n"/>
      <c r="AR268" s="450" t="n"/>
      <c r="AT268" s="450" t="n"/>
    </row>
    <row r="269">
      <c r="O269" s="443" t="n"/>
      <c r="P269" s="443" t="n"/>
      <c r="Q269" s="443" t="n"/>
      <c r="R269" s="450" t="n"/>
      <c r="T269" s="443" t="n"/>
      <c r="U269" s="443" t="n"/>
      <c r="V269" s="443" t="n"/>
      <c r="W269" s="450" t="n"/>
      <c r="Z269" s="443" t="n"/>
      <c r="AD269" s="450" t="n"/>
      <c r="AF269" s="450" t="n"/>
      <c r="AG269" s="443" t="n"/>
      <c r="AI269" s="443" t="n"/>
      <c r="AK269" s="450" t="n"/>
      <c r="AL269" s="438" t="n"/>
      <c r="AN269" s="398" t="n"/>
      <c r="AO269" s="286" t="n"/>
      <c r="AP269" s="450" t="n"/>
      <c r="AR269" s="450" t="n"/>
      <c r="AT269" s="450" t="n"/>
    </row>
    <row r="270">
      <c r="O270" s="443" t="n"/>
      <c r="P270" s="443" t="n"/>
      <c r="Q270" s="443" t="n"/>
      <c r="R270" s="450" t="n"/>
      <c r="T270" s="443" t="n"/>
      <c r="U270" s="443" t="n"/>
      <c r="V270" s="443" t="n"/>
      <c r="W270" s="450" t="n"/>
      <c r="Z270" s="443" t="n"/>
      <c r="AD270" s="450" t="n"/>
      <c r="AF270" s="450" t="n"/>
      <c r="AG270" s="443" t="n"/>
      <c r="AI270" s="443" t="n"/>
      <c r="AK270" s="450" t="n"/>
      <c r="AL270" s="438" t="n"/>
      <c r="AN270" s="398" t="n"/>
      <c r="AO270" s="286" t="n"/>
      <c r="AP270" s="450" t="n"/>
      <c r="AR270" s="450" t="n"/>
      <c r="AT270" s="450" t="n"/>
    </row>
    <row r="271">
      <c r="O271" s="443" t="n"/>
      <c r="P271" s="443" t="n"/>
      <c r="Q271" s="443" t="n"/>
      <c r="R271" s="450" t="n"/>
      <c r="T271" s="443" t="n"/>
      <c r="U271" s="443" t="n"/>
      <c r="V271" s="443" t="n"/>
      <c r="W271" s="450" t="n"/>
      <c r="Z271" s="443" t="n"/>
      <c r="AD271" s="450" t="n"/>
      <c r="AF271" s="450" t="n"/>
      <c r="AG271" s="443" t="n"/>
      <c r="AI271" s="443" t="n"/>
      <c r="AK271" s="450" t="n"/>
      <c r="AL271" s="438" t="n"/>
      <c r="AN271" s="398" t="n"/>
      <c r="AO271" s="286" t="n"/>
      <c r="AP271" s="450" t="n"/>
      <c r="AR271" s="450" t="n"/>
      <c r="AT271" s="450" t="n"/>
    </row>
    <row r="272">
      <c r="O272" s="443" t="n"/>
      <c r="P272" s="443" t="n"/>
      <c r="Q272" s="443" t="n"/>
      <c r="R272" s="450" t="n"/>
      <c r="T272" s="443" t="n"/>
      <c r="U272" s="443" t="n"/>
      <c r="V272" s="443" t="n"/>
      <c r="W272" s="450" t="n"/>
      <c r="Z272" s="443" t="n"/>
      <c r="AD272" s="450" t="n"/>
      <c r="AF272" s="450" t="n"/>
      <c r="AG272" s="443" t="n"/>
      <c r="AI272" s="443" t="n"/>
      <c r="AK272" s="450" t="n"/>
      <c r="AL272" s="438" t="n"/>
      <c r="AN272" s="398" t="n"/>
      <c r="AO272" s="286" t="n"/>
      <c r="AP272" s="450" t="n"/>
      <c r="AR272" s="450" t="n"/>
      <c r="AT272" s="450" t="n"/>
    </row>
    <row r="273">
      <c r="O273" s="443" t="n"/>
      <c r="P273" s="443" t="n"/>
      <c r="Q273" s="443" t="n"/>
      <c r="R273" s="450" t="n"/>
      <c r="T273" s="443" t="n"/>
      <c r="U273" s="443" t="n"/>
      <c r="V273" s="443" t="n"/>
      <c r="W273" s="450" t="n"/>
      <c r="Z273" s="443" t="n"/>
      <c r="AD273" s="450" t="n"/>
      <c r="AF273" s="450" t="n"/>
      <c r="AG273" s="443" t="n"/>
      <c r="AI273" s="443" t="n"/>
      <c r="AK273" s="450" t="n"/>
      <c r="AL273" s="438" t="n"/>
      <c r="AN273" s="398" t="n"/>
      <c r="AO273" s="286" t="n"/>
      <c r="AP273" s="450" t="n"/>
      <c r="AR273" s="450" t="n"/>
      <c r="AT273" s="450" t="n"/>
    </row>
    <row r="274">
      <c r="O274" s="443" t="n"/>
      <c r="P274" s="443" t="n"/>
      <c r="Q274" s="443" t="n"/>
      <c r="R274" s="450" t="n"/>
      <c r="T274" s="443" t="n"/>
      <c r="U274" s="443" t="n"/>
      <c r="V274" s="443" t="n"/>
      <c r="W274" s="450" t="n"/>
      <c r="Z274" s="443" t="n"/>
      <c r="AD274" s="450" t="n"/>
      <c r="AF274" s="450" t="n"/>
      <c r="AG274" s="443" t="n"/>
      <c r="AI274" s="443" t="n"/>
      <c r="AK274" s="450" t="n"/>
      <c r="AL274" s="438" t="n"/>
      <c r="AN274" s="398" t="n"/>
      <c r="AO274" s="286" t="n"/>
      <c r="AP274" s="450" t="n"/>
      <c r="AR274" s="450" t="n"/>
      <c r="AT274" s="450" t="n"/>
    </row>
    <row r="275">
      <c r="O275" s="443" t="n"/>
      <c r="P275" s="443" t="n"/>
      <c r="Q275" s="443" t="n"/>
      <c r="R275" s="450" t="n"/>
      <c r="T275" s="443" t="n"/>
      <c r="U275" s="443" t="n"/>
      <c r="V275" s="443" t="n"/>
      <c r="W275" s="450" t="n"/>
      <c r="Z275" s="443" t="n"/>
      <c r="AD275" s="450" t="n"/>
      <c r="AF275" s="450" t="n"/>
      <c r="AG275" s="443" t="n"/>
      <c r="AI275" s="443" t="n"/>
      <c r="AK275" s="450" t="n"/>
      <c r="AL275" s="438" t="n"/>
      <c r="AN275" s="398" t="n"/>
      <c r="AO275" s="286" t="n"/>
      <c r="AP275" s="450" t="n"/>
      <c r="AR275" s="450" t="n"/>
      <c r="AT275" s="450" t="n"/>
    </row>
    <row r="276">
      <c r="O276" s="443" t="n"/>
      <c r="P276" s="443" t="n"/>
      <c r="Q276" s="443" t="n"/>
      <c r="R276" s="450" t="n"/>
      <c r="T276" s="443" t="n"/>
      <c r="U276" s="443" t="n"/>
      <c r="V276" s="443" t="n"/>
      <c r="W276" s="450" t="n"/>
      <c r="Z276" s="443" t="n"/>
      <c r="AD276" s="450" t="n"/>
      <c r="AF276" s="450" t="n"/>
      <c r="AG276" s="443" t="n"/>
      <c r="AI276" s="443" t="n"/>
      <c r="AK276" s="450" t="n"/>
      <c r="AL276" s="438" t="n"/>
      <c r="AN276" s="398" t="n"/>
      <c r="AO276" s="286" t="n"/>
      <c r="AP276" s="450" t="n"/>
      <c r="AR276" s="450" t="n"/>
      <c r="AT276" s="450" t="n"/>
    </row>
    <row r="277">
      <c r="O277" s="443" t="n"/>
      <c r="P277" s="443" t="n"/>
      <c r="Q277" s="443" t="n"/>
      <c r="R277" s="450" t="n"/>
      <c r="T277" s="443" t="n"/>
      <c r="U277" s="443" t="n"/>
      <c r="V277" s="443" t="n"/>
      <c r="W277" s="450" t="n"/>
      <c r="Z277" s="443" t="n"/>
      <c r="AD277" s="450" t="n"/>
      <c r="AF277" s="450" t="n"/>
      <c r="AG277" s="443" t="n"/>
      <c r="AI277" s="443" t="n"/>
      <c r="AK277" s="450" t="n"/>
      <c r="AL277" s="438" t="n"/>
      <c r="AN277" s="398" t="n"/>
      <c r="AO277" s="286" t="n"/>
      <c r="AP277" s="450" t="n"/>
      <c r="AR277" s="450" t="n"/>
      <c r="AT277" s="450" t="n"/>
    </row>
    <row r="278">
      <c r="O278" s="443" t="n"/>
      <c r="P278" s="443" t="n"/>
      <c r="Q278" s="443" t="n"/>
      <c r="R278" s="450" t="n"/>
      <c r="T278" s="443" t="n"/>
      <c r="U278" s="443" t="n"/>
      <c r="V278" s="443" t="n"/>
      <c r="W278" s="450" t="n"/>
      <c r="Z278" s="443" t="n"/>
      <c r="AD278" s="450" t="n"/>
      <c r="AF278" s="450" t="n"/>
      <c r="AG278" s="443" t="n"/>
      <c r="AI278" s="443" t="n"/>
      <c r="AK278" s="450" t="n"/>
      <c r="AL278" s="438" t="n"/>
      <c r="AN278" s="398" t="n"/>
      <c r="AO278" s="286" t="n"/>
      <c r="AP278" s="450" t="n"/>
      <c r="AR278" s="450" t="n"/>
      <c r="AT278" s="450" t="n"/>
    </row>
    <row r="279">
      <c r="O279" s="443" t="n"/>
      <c r="P279" s="443" t="n"/>
      <c r="Q279" s="443" t="n"/>
      <c r="R279" s="450" t="n"/>
      <c r="T279" s="443" t="n"/>
      <c r="U279" s="443" t="n"/>
      <c r="V279" s="443" t="n"/>
      <c r="W279" s="450" t="n"/>
      <c r="Z279" s="443" t="n"/>
      <c r="AD279" s="450" t="n"/>
      <c r="AF279" s="450" t="n"/>
      <c r="AG279" s="443" t="n"/>
      <c r="AI279" s="443" t="n"/>
      <c r="AK279" s="450" t="n"/>
      <c r="AL279" s="438" t="n"/>
      <c r="AN279" s="398" t="n"/>
      <c r="AO279" s="286" t="n"/>
      <c r="AP279" s="450" t="n"/>
      <c r="AR279" s="450" t="n"/>
      <c r="AT279" s="450" t="n"/>
    </row>
    <row r="280">
      <c r="O280" s="443" t="n"/>
      <c r="P280" s="443" t="n"/>
      <c r="Q280" s="443" t="n"/>
      <c r="R280" s="450" t="n"/>
      <c r="T280" s="443" t="n"/>
      <c r="U280" s="443" t="n"/>
      <c r="V280" s="443" t="n"/>
      <c r="W280" s="450" t="n"/>
      <c r="Z280" s="443" t="n"/>
      <c r="AD280" s="450" t="n"/>
      <c r="AF280" s="450" t="n"/>
      <c r="AG280" s="443" t="n"/>
      <c r="AI280" s="443" t="n"/>
      <c r="AK280" s="450" t="n"/>
      <c r="AL280" s="438" t="n"/>
      <c r="AN280" s="398" t="n"/>
      <c r="AO280" s="286" t="n"/>
      <c r="AP280" s="450" t="n"/>
      <c r="AR280" s="450" t="n"/>
      <c r="AT280" s="450" t="n"/>
    </row>
    <row r="281">
      <c r="O281" s="443" t="n"/>
      <c r="P281" s="443" t="n"/>
      <c r="Q281" s="443" t="n"/>
      <c r="R281" s="450" t="n"/>
      <c r="T281" s="443" t="n"/>
      <c r="U281" s="443" t="n"/>
      <c r="V281" s="443" t="n"/>
      <c r="W281" s="450" t="n"/>
      <c r="Z281" s="443" t="n"/>
      <c r="AD281" s="450" t="n"/>
      <c r="AF281" s="450" t="n"/>
      <c r="AG281" s="443" t="n"/>
      <c r="AI281" s="443" t="n"/>
      <c r="AK281" s="450" t="n"/>
      <c r="AL281" s="438" t="n"/>
      <c r="AN281" s="398" t="n"/>
      <c r="AO281" s="286" t="n"/>
      <c r="AP281" s="450" t="n"/>
      <c r="AR281" s="450" t="n"/>
      <c r="AT281" s="450" t="n"/>
    </row>
    <row r="282">
      <c r="O282" s="443" t="n"/>
      <c r="P282" s="443" t="n"/>
      <c r="Q282" s="443" t="n"/>
      <c r="R282" s="450" t="n"/>
      <c r="T282" s="443" t="n"/>
      <c r="U282" s="443" t="n"/>
      <c r="V282" s="443" t="n"/>
      <c r="W282" s="450" t="n"/>
      <c r="Z282" s="443" t="n"/>
      <c r="AD282" s="450" t="n"/>
      <c r="AF282" s="450" t="n"/>
      <c r="AG282" s="443" t="n"/>
      <c r="AI282" s="443" t="n"/>
      <c r="AK282" s="450" t="n"/>
      <c r="AL282" s="438" t="n"/>
      <c r="AN282" s="398" t="n"/>
      <c r="AO282" s="286" t="n"/>
      <c r="AP282" s="450" t="n"/>
      <c r="AR282" s="450" t="n"/>
      <c r="AT282" s="450" t="n"/>
    </row>
    <row r="283">
      <c r="O283" s="443" t="n"/>
      <c r="P283" s="443" t="n"/>
      <c r="Q283" s="443" t="n"/>
      <c r="R283" s="450" t="n"/>
      <c r="T283" s="443" t="n"/>
      <c r="U283" s="443" t="n"/>
      <c r="V283" s="443" t="n"/>
      <c r="W283" s="450" t="n"/>
      <c r="Z283" s="443" t="n"/>
      <c r="AD283" s="450" t="n"/>
      <c r="AF283" s="450" t="n"/>
      <c r="AG283" s="443" t="n"/>
      <c r="AI283" s="443" t="n"/>
      <c r="AK283" s="450" t="n"/>
      <c r="AL283" s="438" t="n"/>
      <c r="AN283" s="398" t="n"/>
      <c r="AO283" s="286" t="n"/>
      <c r="AP283" s="450" t="n"/>
      <c r="AR283" s="450" t="n"/>
      <c r="AT283" s="450" t="n"/>
    </row>
    <row r="284">
      <c r="O284" s="443" t="n"/>
      <c r="P284" s="443" t="n"/>
      <c r="Q284" s="443" t="n"/>
      <c r="R284" s="450" t="n"/>
      <c r="T284" s="443" t="n"/>
      <c r="U284" s="443" t="n"/>
      <c r="V284" s="443" t="n"/>
      <c r="W284" s="450" t="n"/>
      <c r="Z284" s="443" t="n"/>
      <c r="AD284" s="450" t="n"/>
      <c r="AF284" s="450" t="n"/>
      <c r="AG284" s="443" t="n"/>
      <c r="AI284" s="443" t="n"/>
      <c r="AK284" s="450" t="n"/>
      <c r="AL284" s="438" t="n"/>
      <c r="AN284" s="398" t="n"/>
      <c r="AO284" s="286" t="n"/>
      <c r="AP284" s="450" t="n"/>
      <c r="AR284" s="450" t="n"/>
      <c r="AT284" s="450" t="n"/>
    </row>
    <row r="285">
      <c r="O285" s="443" t="n"/>
      <c r="P285" s="443" t="n"/>
      <c r="Q285" s="443" t="n"/>
      <c r="R285" s="450" t="n"/>
      <c r="T285" s="443" t="n"/>
      <c r="U285" s="443" t="n"/>
      <c r="V285" s="443" t="n"/>
      <c r="W285" s="450" t="n"/>
      <c r="Z285" s="443" t="n"/>
      <c r="AD285" s="450" t="n"/>
      <c r="AF285" s="450" t="n"/>
      <c r="AG285" s="443" t="n"/>
      <c r="AI285" s="443" t="n"/>
      <c r="AK285" s="450" t="n"/>
      <c r="AL285" s="438" t="n"/>
      <c r="AN285" s="398" t="n"/>
      <c r="AO285" s="286" t="n"/>
      <c r="AP285" s="450" t="n"/>
      <c r="AR285" s="450" t="n"/>
      <c r="AT285" s="450" t="n"/>
    </row>
    <row r="286">
      <c r="O286" s="443" t="n"/>
      <c r="P286" s="443" t="n"/>
      <c r="Q286" s="443" t="n"/>
      <c r="R286" s="450" t="n"/>
      <c r="T286" s="443" t="n"/>
      <c r="U286" s="443" t="n"/>
      <c r="V286" s="443" t="n"/>
      <c r="W286" s="450" t="n"/>
      <c r="Z286" s="443" t="n"/>
      <c r="AD286" s="450" t="n"/>
      <c r="AF286" s="450" t="n"/>
      <c r="AG286" s="443" t="n"/>
      <c r="AI286" s="443" t="n"/>
      <c r="AK286" s="450" t="n"/>
      <c r="AL286" s="438" t="n"/>
      <c r="AN286" s="398" t="n"/>
      <c r="AO286" s="286" t="n"/>
      <c r="AP286" s="450" t="n"/>
      <c r="AR286" s="450" t="n"/>
      <c r="AT286" s="450" t="n"/>
    </row>
    <row r="287">
      <c r="O287" s="443" t="n"/>
      <c r="P287" s="443" t="n"/>
      <c r="Q287" s="443" t="n"/>
      <c r="R287" s="450" t="n"/>
      <c r="T287" s="443" t="n"/>
      <c r="U287" s="443" t="n"/>
      <c r="V287" s="443" t="n"/>
      <c r="W287" s="450" t="n"/>
      <c r="Z287" s="443" t="n"/>
      <c r="AD287" s="450" t="n"/>
      <c r="AF287" s="450" t="n"/>
      <c r="AG287" s="443" t="n"/>
      <c r="AI287" s="443" t="n"/>
      <c r="AK287" s="450" t="n"/>
      <c r="AL287" s="438" t="n"/>
      <c r="AN287" s="398" t="n"/>
      <c r="AO287" s="286" t="n"/>
      <c r="AP287" s="450" t="n"/>
      <c r="AR287" s="450" t="n"/>
      <c r="AT287" s="450" t="n"/>
    </row>
    <row r="288">
      <c r="O288" s="443" t="n"/>
      <c r="P288" s="443" t="n"/>
      <c r="Q288" s="443" t="n"/>
      <c r="R288" s="450" t="n"/>
      <c r="T288" s="443" t="n"/>
      <c r="U288" s="443" t="n"/>
      <c r="V288" s="443" t="n"/>
      <c r="W288" s="450" t="n"/>
      <c r="Z288" s="443" t="n"/>
      <c r="AD288" s="450" t="n"/>
      <c r="AF288" s="450" t="n"/>
      <c r="AG288" s="443" t="n"/>
      <c r="AI288" s="443" t="n"/>
      <c r="AK288" s="450" t="n"/>
      <c r="AL288" s="438" t="n"/>
      <c r="AN288" s="398" t="n"/>
      <c r="AO288" s="286" t="n"/>
      <c r="AP288" s="450" t="n"/>
      <c r="AR288" s="450" t="n"/>
      <c r="AT288" s="450" t="n"/>
    </row>
    <row r="289">
      <c r="O289" s="443" t="n"/>
      <c r="P289" s="443" t="n"/>
      <c r="Q289" s="443" t="n"/>
      <c r="R289" s="450" t="n"/>
      <c r="T289" s="443" t="n"/>
      <c r="U289" s="443" t="n"/>
      <c r="V289" s="443" t="n"/>
      <c r="W289" s="450" t="n"/>
      <c r="Z289" s="443" t="n"/>
      <c r="AD289" s="450" t="n"/>
      <c r="AF289" s="450" t="n"/>
      <c r="AG289" s="443" t="n"/>
      <c r="AI289" s="443" t="n"/>
      <c r="AK289" s="450" t="n"/>
      <c r="AL289" s="438" t="n"/>
      <c r="AN289" s="398" t="n"/>
      <c r="AO289" s="286" t="n"/>
      <c r="AP289" s="450" t="n"/>
      <c r="AR289" s="450" t="n"/>
      <c r="AT289" s="450" t="n"/>
    </row>
    <row r="290">
      <c r="O290" s="443" t="n"/>
      <c r="P290" s="443" t="n"/>
      <c r="Q290" s="443" t="n"/>
      <c r="R290" s="450" t="n"/>
      <c r="T290" s="443" t="n"/>
      <c r="U290" s="443" t="n"/>
      <c r="V290" s="443" t="n"/>
      <c r="W290" s="450" t="n"/>
      <c r="Z290" s="443" t="n"/>
      <c r="AD290" s="450" t="n"/>
      <c r="AF290" s="450" t="n"/>
      <c r="AG290" s="443" t="n"/>
      <c r="AI290" s="443" t="n"/>
      <c r="AK290" s="450" t="n"/>
      <c r="AL290" s="438" t="n"/>
      <c r="AN290" s="398" t="n"/>
      <c r="AO290" s="286" t="n"/>
      <c r="AP290" s="450" t="n"/>
      <c r="AR290" s="450" t="n"/>
      <c r="AT290" s="450" t="n"/>
    </row>
    <row r="291">
      <c r="O291" s="443" t="n"/>
      <c r="P291" s="443" t="n"/>
      <c r="Q291" s="443" t="n"/>
      <c r="R291" s="450" t="n"/>
      <c r="T291" s="443" t="n"/>
      <c r="U291" s="443" t="n"/>
      <c r="V291" s="443" t="n"/>
      <c r="W291" s="450" t="n"/>
      <c r="Z291" s="443" t="n"/>
      <c r="AD291" s="450" t="n"/>
      <c r="AF291" s="450" t="n"/>
      <c r="AG291" s="443" t="n"/>
      <c r="AI291" s="443" t="n"/>
      <c r="AK291" s="450" t="n"/>
      <c r="AL291" s="438" t="n"/>
      <c r="AN291" s="398" t="n"/>
      <c r="AO291" s="286" t="n"/>
      <c r="AP291" s="450" t="n"/>
      <c r="AR291" s="450" t="n"/>
      <c r="AT291" s="450" t="n"/>
    </row>
    <row r="292">
      <c r="O292" s="443" t="n"/>
      <c r="P292" s="443" t="n"/>
      <c r="Q292" s="443" t="n"/>
      <c r="R292" s="450" t="n"/>
      <c r="T292" s="443" t="n"/>
      <c r="U292" s="443" t="n"/>
      <c r="V292" s="443" t="n"/>
      <c r="W292" s="450" t="n"/>
      <c r="Z292" s="443" t="n"/>
      <c r="AD292" s="450" t="n"/>
      <c r="AF292" s="450" t="n"/>
      <c r="AG292" s="443" t="n"/>
      <c r="AI292" s="443" t="n"/>
      <c r="AK292" s="450" t="n"/>
      <c r="AL292" s="438" t="n"/>
      <c r="AN292" s="398" t="n"/>
      <c r="AO292" s="286" t="n"/>
      <c r="AP292" s="450" t="n"/>
      <c r="AR292" s="450" t="n"/>
      <c r="AT292" s="450" t="n"/>
    </row>
    <row r="293">
      <c r="O293" s="443" t="n"/>
      <c r="P293" s="443" t="n"/>
      <c r="Q293" s="443" t="n"/>
      <c r="R293" s="450" t="n"/>
      <c r="T293" s="443" t="n"/>
      <c r="U293" s="443" t="n"/>
      <c r="V293" s="443" t="n"/>
      <c r="W293" s="450" t="n"/>
      <c r="Z293" s="443" t="n"/>
      <c r="AD293" s="450" t="n"/>
      <c r="AF293" s="450" t="n"/>
      <c r="AG293" s="443" t="n"/>
      <c r="AI293" s="443" t="n"/>
      <c r="AK293" s="450" t="n"/>
      <c r="AL293" s="438" t="n"/>
      <c r="AN293" s="398" t="n"/>
      <c r="AO293" s="286" t="n"/>
      <c r="AP293" s="450" t="n"/>
      <c r="AR293" s="450" t="n"/>
      <c r="AT293" s="450" t="n"/>
    </row>
    <row r="294">
      <c r="O294" s="443" t="n"/>
      <c r="P294" s="443" t="n"/>
      <c r="Q294" s="443" t="n"/>
      <c r="R294" s="450" t="n"/>
      <c r="T294" s="443" t="n"/>
      <c r="U294" s="443" t="n"/>
      <c r="V294" s="443" t="n"/>
      <c r="W294" s="450" t="n"/>
      <c r="Z294" s="443" t="n"/>
      <c r="AD294" s="450" t="n"/>
      <c r="AF294" s="450" t="n"/>
      <c r="AG294" s="443" t="n"/>
      <c r="AI294" s="443" t="n"/>
      <c r="AK294" s="450" t="n"/>
      <c r="AL294" s="438" t="n"/>
      <c r="AN294" s="398" t="n"/>
      <c r="AO294" s="286" t="n"/>
      <c r="AP294" s="450" t="n"/>
      <c r="AR294" s="450" t="n"/>
      <c r="AT294" s="450" t="n"/>
    </row>
    <row r="295">
      <c r="O295" s="443" t="n"/>
      <c r="P295" s="443" t="n"/>
      <c r="Q295" s="443" t="n"/>
      <c r="R295" s="450" t="n"/>
      <c r="T295" s="443" t="n"/>
      <c r="U295" s="443" t="n"/>
      <c r="V295" s="443" t="n"/>
      <c r="W295" s="450" t="n"/>
      <c r="Z295" s="443" t="n"/>
      <c r="AD295" s="450" t="n"/>
      <c r="AF295" s="450" t="n"/>
      <c r="AG295" s="443" t="n"/>
      <c r="AI295" s="443" t="n"/>
      <c r="AK295" s="450" t="n"/>
      <c r="AL295" s="438" t="n"/>
      <c r="AN295" s="398" t="n"/>
      <c r="AO295" s="286" t="n"/>
      <c r="AP295" s="450" t="n"/>
      <c r="AR295" s="450" t="n"/>
      <c r="AT295" s="450" t="n"/>
    </row>
    <row r="296">
      <c r="O296" s="443" t="n"/>
      <c r="P296" s="443" t="n"/>
      <c r="Q296" s="443" t="n"/>
      <c r="R296" s="450" t="n"/>
      <c r="T296" s="443" t="n"/>
      <c r="U296" s="443" t="n"/>
      <c r="V296" s="443" t="n"/>
      <c r="W296" s="450" t="n"/>
      <c r="Z296" s="443" t="n"/>
      <c r="AD296" s="450" t="n"/>
      <c r="AF296" s="450" t="n"/>
      <c r="AG296" s="443" t="n"/>
      <c r="AI296" s="443" t="n"/>
      <c r="AK296" s="450" t="n"/>
      <c r="AL296" s="438" t="n"/>
      <c r="AN296" s="398" t="n"/>
      <c r="AO296" s="286" t="n"/>
      <c r="AP296" s="450" t="n"/>
      <c r="AR296" s="450" t="n"/>
      <c r="AT296" s="450" t="n"/>
    </row>
    <row r="297">
      <c r="O297" s="443" t="n"/>
      <c r="P297" s="443" t="n"/>
      <c r="Q297" s="443" t="n"/>
      <c r="R297" s="450" t="n"/>
      <c r="T297" s="443" t="n"/>
      <c r="U297" s="443" t="n"/>
      <c r="V297" s="443" t="n"/>
      <c r="W297" s="450" t="n"/>
      <c r="Z297" s="443" t="n"/>
      <c r="AD297" s="450" t="n"/>
      <c r="AF297" s="450" t="n"/>
      <c r="AG297" s="443" t="n"/>
      <c r="AI297" s="443" t="n"/>
      <c r="AK297" s="450" t="n"/>
      <c r="AL297" s="438" t="n"/>
      <c r="AN297" s="398" t="n"/>
      <c r="AO297" s="286" t="n"/>
      <c r="AP297" s="450" t="n"/>
      <c r="AR297" s="450" t="n"/>
      <c r="AT297" s="450" t="n"/>
    </row>
    <row r="298">
      <c r="O298" s="443" t="n"/>
      <c r="P298" s="443" t="n"/>
      <c r="Q298" s="443" t="n"/>
      <c r="R298" s="450" t="n"/>
      <c r="T298" s="443" t="n"/>
      <c r="U298" s="443" t="n"/>
      <c r="V298" s="443" t="n"/>
      <c r="W298" s="450" t="n"/>
      <c r="Z298" s="443" t="n"/>
      <c r="AD298" s="450" t="n"/>
      <c r="AF298" s="450" t="n"/>
      <c r="AG298" s="443" t="n"/>
      <c r="AI298" s="443" t="n"/>
      <c r="AK298" s="450" t="n"/>
      <c r="AL298" s="438" t="n"/>
      <c r="AN298" s="398" t="n"/>
      <c r="AO298" s="286" t="n"/>
      <c r="AP298" s="450" t="n"/>
      <c r="AR298" s="450" t="n"/>
      <c r="AT298" s="450" t="n"/>
    </row>
    <row r="299">
      <c r="O299" s="443" t="n"/>
      <c r="P299" s="443" t="n"/>
      <c r="Q299" s="443" t="n"/>
      <c r="R299" s="450" t="n"/>
      <c r="T299" s="443" t="n"/>
      <c r="U299" s="443" t="n"/>
      <c r="V299" s="443" t="n"/>
      <c r="W299" s="450" t="n"/>
      <c r="Z299" s="443" t="n"/>
      <c r="AD299" s="450" t="n"/>
      <c r="AF299" s="450" t="n"/>
      <c r="AG299" s="443" t="n"/>
      <c r="AI299" s="443" t="n"/>
      <c r="AK299" s="450" t="n"/>
      <c r="AL299" s="438" t="n"/>
      <c r="AN299" s="398" t="n"/>
      <c r="AO299" s="286" t="n"/>
      <c r="AP299" s="450" t="n"/>
      <c r="AR299" s="450" t="n"/>
      <c r="AT299" s="450" t="n"/>
    </row>
    <row r="300">
      <c r="O300" s="443" t="n"/>
      <c r="P300" s="443" t="n"/>
      <c r="Q300" s="443" t="n"/>
      <c r="R300" s="450" t="n"/>
      <c r="T300" s="443" t="n"/>
      <c r="U300" s="443" t="n"/>
      <c r="V300" s="443" t="n"/>
      <c r="W300" s="450" t="n"/>
      <c r="Z300" s="443" t="n"/>
      <c r="AD300" s="450" t="n"/>
      <c r="AF300" s="450" t="n"/>
      <c r="AG300" s="443" t="n"/>
      <c r="AI300" s="443" t="n"/>
      <c r="AK300" s="450" t="n"/>
      <c r="AL300" s="438" t="n"/>
      <c r="AN300" s="398" t="n"/>
      <c r="AO300" s="286" t="n"/>
      <c r="AP300" s="450" t="n"/>
      <c r="AR300" s="450" t="n"/>
      <c r="AT300" s="450" t="n"/>
    </row>
    <row r="301">
      <c r="O301" s="443" t="n"/>
      <c r="P301" s="443" t="n"/>
      <c r="Q301" s="443" t="n"/>
      <c r="R301" s="450" t="n"/>
      <c r="T301" s="443" t="n"/>
      <c r="U301" s="443" t="n"/>
      <c r="V301" s="443" t="n"/>
      <c r="W301" s="450" t="n"/>
      <c r="Z301" s="443" t="n"/>
      <c r="AD301" s="450" t="n"/>
      <c r="AF301" s="450" t="n"/>
      <c r="AG301" s="443" t="n"/>
      <c r="AI301" s="443" t="n"/>
      <c r="AK301" s="450" t="n"/>
      <c r="AL301" s="438" t="n"/>
      <c r="AN301" s="398" t="n"/>
      <c r="AO301" s="286" t="n"/>
      <c r="AP301" s="450" t="n"/>
      <c r="AR301" s="450" t="n"/>
      <c r="AT301" s="450" t="n"/>
    </row>
    <row r="302">
      <c r="O302" s="443" t="n"/>
      <c r="P302" s="443" t="n"/>
      <c r="Q302" s="443" t="n"/>
      <c r="R302" s="450" t="n"/>
      <c r="T302" s="443" t="n"/>
      <c r="U302" s="443" t="n"/>
      <c r="V302" s="443" t="n"/>
      <c r="W302" s="450" t="n"/>
      <c r="Z302" s="443" t="n"/>
      <c r="AD302" s="450" t="n"/>
      <c r="AF302" s="450" t="n"/>
      <c r="AG302" s="443" t="n"/>
      <c r="AI302" s="443" t="n"/>
      <c r="AK302" s="450" t="n"/>
      <c r="AL302" s="438" t="n"/>
      <c r="AN302" s="398" t="n"/>
      <c r="AO302" s="286" t="n"/>
      <c r="AP302" s="450" t="n"/>
      <c r="AR302" s="450" t="n"/>
      <c r="AT302" s="450" t="n"/>
    </row>
    <row r="303">
      <c r="O303" s="443" t="n"/>
      <c r="P303" s="443" t="n"/>
      <c r="Q303" s="443" t="n"/>
      <c r="R303" s="450" t="n"/>
      <c r="T303" s="443" t="n"/>
      <c r="U303" s="443" t="n"/>
      <c r="V303" s="443" t="n"/>
      <c r="W303" s="450" t="n"/>
      <c r="Z303" s="443" t="n"/>
      <c r="AD303" s="450" t="n"/>
      <c r="AF303" s="450" t="n"/>
      <c r="AG303" s="443" t="n"/>
      <c r="AI303" s="443" t="n"/>
      <c r="AK303" s="450" t="n"/>
      <c r="AL303" s="438" t="n"/>
      <c r="AN303" s="398" t="n"/>
      <c r="AO303" s="286" t="n"/>
      <c r="AP303" s="450" t="n"/>
      <c r="AR303" s="450" t="n"/>
      <c r="AT303" s="450" t="n"/>
    </row>
    <row r="304">
      <c r="O304" s="443" t="n"/>
      <c r="P304" s="443" t="n"/>
      <c r="Q304" s="443" t="n"/>
      <c r="R304" s="450" t="n"/>
      <c r="T304" s="443" t="n"/>
      <c r="U304" s="443" t="n"/>
      <c r="V304" s="443" t="n"/>
      <c r="W304" s="450" t="n"/>
      <c r="Z304" s="443" t="n"/>
      <c r="AD304" s="450" t="n"/>
      <c r="AF304" s="450" t="n"/>
      <c r="AG304" s="443" t="n"/>
      <c r="AI304" s="443" t="n"/>
      <c r="AK304" s="450" t="n"/>
      <c r="AL304" s="438" t="n"/>
      <c r="AN304" s="398" t="n"/>
      <c r="AO304" s="286" t="n"/>
      <c r="AP304" s="450" t="n"/>
      <c r="AR304" s="450" t="n"/>
      <c r="AT304" s="450" t="n"/>
    </row>
    <row r="305">
      <c r="O305" s="443" t="n"/>
      <c r="P305" s="443" t="n"/>
      <c r="Q305" s="443" t="n"/>
      <c r="R305" s="450" t="n"/>
      <c r="T305" s="443" t="n"/>
      <c r="U305" s="443" t="n"/>
      <c r="V305" s="443" t="n"/>
      <c r="W305" s="450" t="n"/>
      <c r="Z305" s="443" t="n"/>
      <c r="AD305" s="450" t="n"/>
      <c r="AF305" s="450" t="n"/>
      <c r="AG305" s="443" t="n"/>
      <c r="AI305" s="443" t="n"/>
      <c r="AK305" s="450" t="n"/>
      <c r="AL305" s="438" t="n"/>
      <c r="AN305" s="398" t="n"/>
      <c r="AO305" s="286" t="n"/>
      <c r="AP305" s="450" t="n"/>
      <c r="AR305" s="450" t="n"/>
      <c r="AT305" s="450" t="n"/>
    </row>
    <row r="306">
      <c r="O306" s="443" t="n"/>
      <c r="P306" s="443" t="n"/>
      <c r="Q306" s="443" t="n"/>
      <c r="R306" s="450" t="n"/>
      <c r="T306" s="443" t="n"/>
      <c r="U306" s="443" t="n"/>
      <c r="V306" s="443" t="n"/>
      <c r="W306" s="450" t="n"/>
      <c r="Z306" s="443" t="n"/>
      <c r="AD306" s="450" t="n"/>
      <c r="AF306" s="450" t="n"/>
      <c r="AG306" s="443" t="n"/>
      <c r="AI306" s="443" t="n"/>
      <c r="AK306" s="450" t="n"/>
      <c r="AL306" s="438" t="n"/>
      <c r="AN306" s="398" t="n"/>
      <c r="AO306" s="286" t="n"/>
      <c r="AP306" s="450" t="n"/>
      <c r="AR306" s="450" t="n"/>
      <c r="AT306" s="450" t="n"/>
    </row>
    <row r="307">
      <c r="O307" s="443" t="n"/>
      <c r="P307" s="443" t="n"/>
      <c r="Q307" s="443" t="n"/>
      <c r="R307" s="450" t="n"/>
      <c r="T307" s="443" t="n"/>
      <c r="U307" s="443" t="n"/>
      <c r="V307" s="443" t="n"/>
      <c r="W307" s="450" t="n"/>
      <c r="Z307" s="443" t="n"/>
      <c r="AD307" s="450" t="n"/>
      <c r="AF307" s="450" t="n"/>
      <c r="AG307" s="443" t="n"/>
      <c r="AI307" s="443" t="n"/>
      <c r="AK307" s="450" t="n"/>
      <c r="AL307" s="438" t="n"/>
      <c r="AN307" s="398" t="n"/>
      <c r="AO307" s="286" t="n"/>
      <c r="AP307" s="450" t="n"/>
      <c r="AR307" s="450" t="n"/>
      <c r="AT307" s="450" t="n"/>
    </row>
    <row r="308">
      <c r="O308" s="443" t="n"/>
      <c r="P308" s="443" t="n"/>
      <c r="Q308" s="443" t="n"/>
      <c r="R308" s="450" t="n"/>
      <c r="T308" s="443" t="n"/>
      <c r="U308" s="443" t="n"/>
      <c r="V308" s="443" t="n"/>
      <c r="W308" s="450" t="n"/>
      <c r="Z308" s="443" t="n"/>
      <c r="AD308" s="450" t="n"/>
      <c r="AF308" s="450" t="n"/>
      <c r="AG308" s="443" t="n"/>
      <c r="AI308" s="443" t="n"/>
      <c r="AK308" s="450" t="n"/>
      <c r="AL308" s="438" t="n"/>
      <c r="AN308" s="398" t="n"/>
      <c r="AO308" s="286" t="n"/>
      <c r="AP308" s="450" t="n"/>
      <c r="AR308" s="450" t="n"/>
      <c r="AT308" s="450" t="n"/>
    </row>
    <row r="309">
      <c r="O309" s="443" t="n"/>
      <c r="P309" s="443" t="n"/>
      <c r="Q309" s="443" t="n"/>
      <c r="R309" s="450" t="n"/>
      <c r="T309" s="443" t="n"/>
      <c r="U309" s="443" t="n"/>
      <c r="V309" s="443" t="n"/>
      <c r="W309" s="450" t="n"/>
      <c r="Z309" s="443" t="n"/>
      <c r="AD309" s="450" t="n"/>
      <c r="AF309" s="450" t="n"/>
      <c r="AG309" s="443" t="n"/>
      <c r="AI309" s="443" t="n"/>
      <c r="AK309" s="450" t="n"/>
      <c r="AL309" s="438" t="n"/>
      <c r="AN309" s="398" t="n"/>
      <c r="AO309" s="286" t="n"/>
      <c r="AP309" s="450" t="n"/>
      <c r="AR309" s="450" t="n"/>
      <c r="AT309" s="450" t="n"/>
    </row>
    <row r="310">
      <c r="O310" s="443" t="n"/>
      <c r="P310" s="443" t="n"/>
      <c r="Q310" s="443" t="n"/>
      <c r="R310" s="450" t="n"/>
      <c r="T310" s="443" t="n"/>
      <c r="U310" s="443" t="n"/>
      <c r="V310" s="443" t="n"/>
      <c r="W310" s="450" t="n"/>
      <c r="Z310" s="443" t="n"/>
      <c r="AD310" s="450" t="n"/>
      <c r="AF310" s="450" t="n"/>
      <c r="AG310" s="443" t="n"/>
      <c r="AI310" s="443" t="n"/>
      <c r="AK310" s="450" t="n"/>
      <c r="AL310" s="438" t="n"/>
      <c r="AN310" s="398" t="n"/>
      <c r="AO310" s="286" t="n"/>
      <c r="AP310" s="450" t="n"/>
      <c r="AR310" s="450" t="n"/>
      <c r="AT310" s="450" t="n"/>
    </row>
    <row r="311">
      <c r="O311" s="443" t="n"/>
      <c r="P311" s="443" t="n"/>
      <c r="Q311" s="443" t="n"/>
      <c r="R311" s="450" t="n"/>
      <c r="T311" s="443" t="n"/>
      <c r="U311" s="443" t="n"/>
      <c r="V311" s="443" t="n"/>
      <c r="W311" s="450" t="n"/>
      <c r="Z311" s="443" t="n"/>
      <c r="AD311" s="450" t="n"/>
      <c r="AF311" s="450" t="n"/>
      <c r="AG311" s="443" t="n"/>
      <c r="AI311" s="443" t="n"/>
      <c r="AK311" s="450" t="n"/>
      <c r="AL311" s="438" t="n"/>
      <c r="AN311" s="398" t="n"/>
      <c r="AO311" s="286" t="n"/>
      <c r="AP311" s="450" t="n"/>
      <c r="AR311" s="450" t="n"/>
      <c r="AT311" s="450" t="n"/>
    </row>
    <row r="312">
      <c r="O312" s="443" t="n"/>
      <c r="P312" s="443" t="n"/>
      <c r="Q312" s="443" t="n"/>
      <c r="R312" s="450" t="n"/>
      <c r="T312" s="443" t="n"/>
      <c r="U312" s="443" t="n"/>
      <c r="V312" s="443" t="n"/>
      <c r="W312" s="450" t="n"/>
      <c r="Z312" s="443" t="n"/>
      <c r="AD312" s="450" t="n"/>
      <c r="AF312" s="450" t="n"/>
      <c r="AG312" s="443" t="n"/>
      <c r="AI312" s="443" t="n"/>
      <c r="AK312" s="450" t="n"/>
      <c r="AL312" s="438" t="n"/>
      <c r="AN312" s="398" t="n"/>
      <c r="AO312" s="286" t="n"/>
      <c r="AP312" s="450" t="n"/>
      <c r="AR312" s="450" t="n"/>
      <c r="AT312" s="450" t="n"/>
    </row>
    <row r="313">
      <c r="O313" s="443" t="n"/>
      <c r="P313" s="443" t="n"/>
      <c r="Q313" s="443" t="n"/>
      <c r="R313" s="450" t="n"/>
      <c r="T313" s="443" t="n"/>
      <c r="U313" s="443" t="n"/>
      <c r="V313" s="443" t="n"/>
      <c r="W313" s="450" t="n"/>
      <c r="Z313" s="443" t="n"/>
      <c r="AD313" s="450" t="n"/>
      <c r="AF313" s="450" t="n"/>
      <c r="AG313" s="443" t="n"/>
      <c r="AI313" s="443" t="n"/>
      <c r="AK313" s="450" t="n"/>
      <c r="AL313" s="438" t="n"/>
      <c r="AN313" s="398" t="n"/>
      <c r="AO313" s="286" t="n"/>
      <c r="AP313" s="450" t="n"/>
      <c r="AR313" s="450" t="n"/>
      <c r="AT313" s="450" t="n"/>
    </row>
    <row r="314">
      <c r="O314" s="443" t="n"/>
      <c r="P314" s="443" t="n"/>
      <c r="Q314" s="443" t="n"/>
      <c r="R314" s="450" t="n"/>
      <c r="T314" s="443" t="n"/>
      <c r="U314" s="443" t="n"/>
      <c r="V314" s="443" t="n"/>
      <c r="W314" s="450" t="n"/>
      <c r="Z314" s="443" t="n"/>
      <c r="AD314" s="450" t="n"/>
      <c r="AF314" s="450" t="n"/>
      <c r="AG314" s="443" t="n"/>
      <c r="AI314" s="443" t="n"/>
      <c r="AK314" s="450" t="n"/>
      <c r="AL314" s="438" t="n"/>
      <c r="AN314" s="398" t="n"/>
      <c r="AO314" s="286" t="n"/>
      <c r="AP314" s="450" t="n"/>
      <c r="AR314" s="450" t="n"/>
      <c r="AT314" s="450" t="n"/>
    </row>
    <row r="315">
      <c r="O315" s="443" t="n"/>
      <c r="P315" s="443" t="n"/>
      <c r="Q315" s="443" t="n"/>
      <c r="R315" s="450" t="n"/>
      <c r="T315" s="443" t="n"/>
      <c r="U315" s="443" t="n"/>
      <c r="V315" s="443" t="n"/>
      <c r="W315" s="450" t="n"/>
      <c r="Z315" s="443" t="n"/>
      <c r="AD315" s="450" t="n"/>
      <c r="AF315" s="450" t="n"/>
      <c r="AG315" s="443" t="n"/>
      <c r="AI315" s="443" t="n"/>
      <c r="AK315" s="450" t="n"/>
      <c r="AL315" s="438" t="n"/>
      <c r="AN315" s="398" t="n"/>
      <c r="AO315" s="286" t="n"/>
      <c r="AP315" s="450" t="n"/>
      <c r="AR315" s="450" t="n"/>
      <c r="AT315" s="450" t="n"/>
    </row>
    <row r="316">
      <c r="O316" s="443" t="n"/>
      <c r="P316" s="443" t="n"/>
      <c r="Q316" s="443" t="n"/>
      <c r="R316" s="450" t="n"/>
      <c r="T316" s="443" t="n"/>
      <c r="U316" s="443" t="n"/>
      <c r="V316" s="443" t="n"/>
      <c r="W316" s="450" t="n"/>
      <c r="Z316" s="443" t="n"/>
      <c r="AD316" s="450" t="n"/>
      <c r="AF316" s="450" t="n"/>
      <c r="AG316" s="443" t="n"/>
      <c r="AI316" s="443" t="n"/>
      <c r="AK316" s="450" t="n"/>
      <c r="AL316" s="438" t="n"/>
      <c r="AN316" s="398" t="n"/>
      <c r="AO316" s="286" t="n"/>
      <c r="AP316" s="450" t="n"/>
      <c r="AR316" s="450" t="n"/>
      <c r="AT316" s="450" t="n"/>
    </row>
    <row r="317">
      <c r="O317" s="443" t="n"/>
      <c r="P317" s="443" t="n"/>
      <c r="Q317" s="443" t="n"/>
      <c r="R317" s="450" t="n"/>
      <c r="T317" s="443" t="n"/>
      <c r="U317" s="443" t="n"/>
      <c r="V317" s="443" t="n"/>
      <c r="W317" s="450" t="n"/>
      <c r="Z317" s="443" t="n"/>
      <c r="AD317" s="450" t="n"/>
      <c r="AF317" s="450" t="n"/>
      <c r="AG317" s="443" t="n"/>
      <c r="AI317" s="443" t="n"/>
      <c r="AK317" s="450" t="n"/>
      <c r="AL317" s="438" t="n"/>
      <c r="AN317" s="398" t="n"/>
      <c r="AO317" s="286" t="n"/>
      <c r="AP317" s="450" t="n"/>
      <c r="AR317" s="450" t="n"/>
      <c r="AT317" s="450" t="n"/>
    </row>
    <row r="318">
      <c r="O318" s="443" t="n"/>
      <c r="P318" s="443" t="n"/>
      <c r="Q318" s="443" t="n"/>
      <c r="R318" s="450" t="n"/>
      <c r="T318" s="443" t="n"/>
      <c r="U318" s="443" t="n"/>
      <c r="V318" s="443" t="n"/>
      <c r="W318" s="450" t="n"/>
      <c r="Z318" s="443" t="n"/>
      <c r="AD318" s="450" t="n"/>
      <c r="AF318" s="450" t="n"/>
      <c r="AG318" s="443" t="n"/>
      <c r="AI318" s="443" t="n"/>
      <c r="AK318" s="450" t="n"/>
      <c r="AL318" s="438" t="n"/>
      <c r="AN318" s="398" t="n"/>
      <c r="AO318" s="286" t="n"/>
      <c r="AP318" s="450" t="n"/>
      <c r="AR318" s="450" t="n"/>
      <c r="AT318" s="450" t="n"/>
    </row>
    <row r="319">
      <c r="O319" s="443" t="n"/>
      <c r="P319" s="443" t="n"/>
      <c r="Q319" s="443" t="n"/>
      <c r="R319" s="450" t="n"/>
      <c r="T319" s="443" t="n"/>
      <c r="U319" s="443" t="n"/>
      <c r="V319" s="443" t="n"/>
      <c r="W319" s="450" t="n"/>
      <c r="Z319" s="443" t="n"/>
      <c r="AD319" s="450" t="n"/>
      <c r="AF319" s="450" t="n"/>
      <c r="AG319" s="443" t="n"/>
      <c r="AI319" s="443" t="n"/>
      <c r="AK319" s="450" t="n"/>
      <c r="AL319" s="438" t="n"/>
      <c r="AN319" s="398" t="n"/>
      <c r="AO319" s="286" t="n"/>
      <c r="AP319" s="450" t="n"/>
      <c r="AR319" s="450" t="n"/>
      <c r="AT319" s="450" t="n"/>
    </row>
    <row r="320">
      <c r="O320" s="443" t="n"/>
      <c r="P320" s="443" t="n"/>
      <c r="Q320" s="443" t="n"/>
      <c r="R320" s="450" t="n"/>
      <c r="T320" s="443" t="n"/>
      <c r="U320" s="443" t="n"/>
      <c r="V320" s="443" t="n"/>
      <c r="W320" s="450" t="n"/>
      <c r="Z320" s="443" t="n"/>
      <c r="AD320" s="450" t="n"/>
      <c r="AF320" s="450" t="n"/>
      <c r="AG320" s="443" t="n"/>
      <c r="AI320" s="443" t="n"/>
      <c r="AK320" s="450" t="n"/>
      <c r="AL320" s="438" t="n"/>
      <c r="AN320" s="398" t="n"/>
      <c r="AO320" s="286" t="n"/>
      <c r="AP320" s="450" t="n"/>
      <c r="AR320" s="450" t="n"/>
      <c r="AT320" s="450" t="n"/>
    </row>
    <row r="321">
      <c r="O321" s="443" t="n"/>
      <c r="P321" s="443" t="n"/>
      <c r="Q321" s="443" t="n"/>
      <c r="R321" s="450" t="n"/>
      <c r="T321" s="443" t="n"/>
      <c r="U321" s="443" t="n"/>
      <c r="V321" s="443" t="n"/>
      <c r="W321" s="450" t="n"/>
      <c r="Z321" s="443" t="n"/>
      <c r="AD321" s="450" t="n"/>
      <c r="AF321" s="450" t="n"/>
      <c r="AG321" s="443" t="n"/>
      <c r="AI321" s="443" t="n"/>
      <c r="AK321" s="450" t="n"/>
      <c r="AL321" s="438" t="n"/>
      <c r="AN321" s="398" t="n"/>
      <c r="AO321" s="286" t="n"/>
      <c r="AP321" s="450" t="n"/>
      <c r="AR321" s="450" t="n"/>
      <c r="AT321" s="450" t="n"/>
    </row>
    <row r="322">
      <c r="O322" s="443" t="n"/>
      <c r="P322" s="443" t="n"/>
      <c r="Q322" s="443" t="n"/>
      <c r="R322" s="450" t="n"/>
      <c r="T322" s="443" t="n"/>
      <c r="U322" s="443" t="n"/>
      <c r="V322" s="443" t="n"/>
      <c r="W322" s="450" t="n"/>
      <c r="Z322" s="443" t="n"/>
      <c r="AD322" s="450" t="n"/>
      <c r="AF322" s="450" t="n"/>
      <c r="AG322" s="443" t="n"/>
      <c r="AI322" s="443" t="n"/>
      <c r="AK322" s="450" t="n"/>
      <c r="AL322" s="438" t="n"/>
      <c r="AN322" s="398" t="n"/>
      <c r="AO322" s="286" t="n"/>
      <c r="AP322" s="450" t="n"/>
      <c r="AR322" s="450" t="n"/>
      <c r="AT322" s="450" t="n"/>
    </row>
    <row r="323">
      <c r="O323" s="443" t="n"/>
      <c r="P323" s="443" t="n"/>
      <c r="Q323" s="443" t="n"/>
      <c r="R323" s="450" t="n"/>
      <c r="T323" s="443" t="n"/>
      <c r="U323" s="443" t="n"/>
      <c r="V323" s="443" t="n"/>
      <c r="W323" s="450" t="n"/>
      <c r="Z323" s="443" t="n"/>
      <c r="AD323" s="450" t="n"/>
      <c r="AF323" s="450" t="n"/>
      <c r="AG323" s="443" t="n"/>
      <c r="AI323" s="443" t="n"/>
      <c r="AK323" s="450" t="n"/>
      <c r="AL323" s="438" t="n"/>
      <c r="AN323" s="398" t="n"/>
      <c r="AO323" s="286" t="n"/>
      <c r="AP323" s="450" t="n"/>
      <c r="AR323" s="450" t="n"/>
      <c r="AT323" s="450" t="n"/>
    </row>
  </sheetData>
  <sheetProtection selectLockedCells="0" selectUnlockedCells="0" sheet="1" objects="1" insertRows="0" insertHyperlinks="1" autoFilter="0" scenarios="1" formatColumns="0" deleteColumns="1" insertColumns="1" pivotTables="1" deleteRows="0" formatCells="1" formatRows="0" sort="0"/>
  <dataValidations count="1">
    <dataValidation sqref="K7:K15" showDropDown="0" showInputMessage="1" showErrorMessage="0" allowBlank="1" type="list">
      <formula1>decompositie</formula1>
    </dataValidation>
  </dataValidations>
  <printOptions horizontalCentered="1" gridLinesSet="0"/>
  <pageMargins left="0.85" right="0.2362204724409449" top="0.68" bottom="0.03937007874015748" header="0.61" footer="0.2362204724409449"/>
  <pageSetup orientation="landscape" paperSize="8" scale="78" fitToHeight="0" horizontalDpi="300" verticalDpi="300"/>
</worksheet>
</file>

<file path=xl/worksheets/sheet6.xml><?xml version="1.0" encoding="utf-8"?>
<worksheet xmlns="http://schemas.openxmlformats.org/spreadsheetml/2006/main">
  <sheetPr codeName="Sheet4">
    <outlinePr summaryBelow="1" summaryRight="1"/>
    <pageSetUpPr/>
  </sheetPr>
  <dimension ref="A1:AX327"/>
  <sheetViews>
    <sheetView showGridLines="0" zoomScale="120" workbookViewId="0">
      <selection activeCell="AR8" sqref="AR8"/>
    </sheetView>
  </sheetViews>
  <sheetFormatPr baseColWidth="8" defaultColWidth="51.7109375" defaultRowHeight="9"/>
  <cols>
    <col width="2.5703125" customWidth="1" style="443" min="1" max="4"/>
    <col hidden="1" width="2.5703125" customWidth="1" style="443" min="5" max="10"/>
    <col width="17.42578125" bestFit="1" customWidth="1" style="443" min="11" max="11"/>
    <col width="2.7109375" customWidth="1" style="443" min="12" max="14"/>
    <col width="1.7109375" customWidth="1" style="450" min="15" max="15"/>
    <col width="13" customWidth="1" style="443" min="16" max="16"/>
    <col width="1.7109375" customWidth="1" style="443" min="17" max="17"/>
    <col hidden="1" width="2.7109375" customWidth="1" style="443" min="18" max="18"/>
    <col hidden="1" width="1.7109375" customWidth="1" style="463" min="19" max="19"/>
    <col hidden="1" width="2.7109375" customWidth="1" style="443" min="20" max="20"/>
    <col hidden="1" width="1.7109375" customWidth="1" style="443" min="21" max="21"/>
    <col width="3.42578125" bestFit="1" customWidth="1" style="475" min="22" max="22"/>
    <col width="2.7109375" customWidth="1" style="450" min="23" max="23"/>
    <col width="1.7109375" customWidth="1" style="450" min="24" max="24"/>
    <col width="2.7109375" customWidth="1" style="443" min="25" max="25"/>
    <col width="2.7109375" customWidth="1" style="450" min="26" max="27"/>
    <col width="1.7109375" customWidth="1" style="450" min="28" max="28"/>
    <col width="3.140625" bestFit="1" customWidth="1" style="450" min="29" max="29"/>
    <col width="2.7109375" customWidth="1" style="450" min="30" max="30"/>
    <col width="3.140625" customWidth="1" style="450" min="31" max="31"/>
    <col hidden="1" width="3.140625" customWidth="1" style="443" min="32" max="32"/>
    <col hidden="1" width="3.140625" customWidth="1" style="450" min="33" max="33"/>
    <col hidden="1" width="3.140625" customWidth="1" style="443" min="34" max="34"/>
    <col width="1.7109375" customWidth="1" style="450" min="35" max="35"/>
    <col hidden="1" width="2.7109375" customWidth="1" style="450" min="36" max="36"/>
    <col hidden="1" width="1.7109375" customWidth="1" style="450" min="37" max="37"/>
    <col hidden="1" width="2.7109375" customWidth="1" style="450" min="38" max="38"/>
    <col hidden="1" width="1.7109375" customWidth="1" style="398" min="39" max="39"/>
    <col width="4.5703125" customWidth="1" style="286" min="40" max="40"/>
    <col width="2.42578125" customWidth="1" style="450" min="41" max="41"/>
    <col width="4.5703125" customWidth="1" style="450" min="42" max="42"/>
    <col width="1.7109375" customWidth="1" style="450" min="43" max="43"/>
    <col width="2.7109375" customWidth="1" style="286" min="44" max="44"/>
    <col width="2.7109375" customWidth="1" style="450" min="45" max="45"/>
    <col width="4.7109375" customWidth="1" style="286" min="46" max="46"/>
    <col width="1.7109375" customWidth="1" style="286" min="47" max="47"/>
    <col width="4.42578125" customWidth="1" style="286" min="48" max="48"/>
    <col width="1.7109375" customWidth="1" style="286" min="49" max="49"/>
    <col width="32.85546875" customWidth="1" style="286" min="50" max="50"/>
    <col width="1.7109375" customWidth="1" style="286" min="51" max="51"/>
    <col width="9.140625" customWidth="1" style="286" min="52" max="194"/>
    <col width="51.7109375" customWidth="1" style="286" min="195" max="16384"/>
  </cols>
  <sheetData>
    <row r="1" ht="15.75" customHeight="1" s="189">
      <c r="A1" s="380">
        <f>PO!A1</f>
        <v/>
      </c>
      <c r="B1" s="430" t="n"/>
      <c r="C1" s="391">
        <f>Algemeen!R4</f>
        <v/>
      </c>
      <c r="D1" s="391" t="n"/>
      <c r="E1" s="391" t="n"/>
      <c r="F1" s="391" t="n"/>
      <c r="G1" s="391" t="n"/>
      <c r="H1" s="391" t="n"/>
      <c r="I1" s="391" t="n"/>
      <c r="J1" s="391" t="n"/>
      <c r="K1" s="385" t="n"/>
      <c r="L1" s="385" t="n"/>
      <c r="M1" s="385" t="n"/>
      <c r="N1" s="385" t="n"/>
      <c r="O1" s="385" t="n"/>
      <c r="P1" s="459" t="inlineStr">
        <is>
          <t>Correctieve onderhoudstaken</t>
        </is>
      </c>
      <c r="Q1" s="385" t="n"/>
      <c r="R1" s="460" t="n"/>
      <c r="S1" s="385" t="n"/>
      <c r="T1" s="385" t="n"/>
      <c r="U1" s="385" t="n"/>
      <c r="V1" s="461" t="n"/>
      <c r="W1" s="387" t="n"/>
      <c r="X1" s="387" t="n"/>
      <c r="Y1" s="388" t="n"/>
      <c r="Z1" s="388" t="n"/>
      <c r="AA1" s="388" t="n"/>
      <c r="AB1" s="385" t="n"/>
      <c r="AC1" s="389" t="n"/>
      <c r="AD1" s="389" t="n"/>
      <c r="AE1" s="389" t="n"/>
      <c r="AF1" s="389" t="n"/>
      <c r="AG1" s="389" t="n"/>
      <c r="AH1" s="389" t="n"/>
      <c r="AI1" s="385" t="n"/>
      <c r="AJ1" s="389" t="n"/>
      <c r="AK1" s="385" t="n"/>
      <c r="AL1" s="389" t="n"/>
      <c r="AM1" s="389" t="n"/>
      <c r="AN1" s="390" t="n"/>
      <c r="AO1" s="391" t="n"/>
      <c r="AP1" s="388" t="n"/>
      <c r="AQ1" s="388" t="n"/>
      <c r="AR1" s="389" t="n"/>
      <c r="AS1" s="389" t="n"/>
      <c r="AT1" s="389" t="n"/>
      <c r="AU1" s="388" t="n"/>
      <c r="AV1" s="388" t="n"/>
      <c r="AW1" s="388" t="n"/>
      <c r="AX1" s="462" t="inlineStr">
        <is>
          <t>Correctieve onderhoudstaken</t>
        </is>
      </c>
    </row>
    <row r="2">
      <c r="A2" s="437" t="n"/>
      <c r="B2" s="437" t="n"/>
      <c r="C2" s="437" t="n"/>
      <c r="D2" s="437" t="n"/>
      <c r="E2" s="437" t="n"/>
      <c r="F2" s="437" t="n"/>
      <c r="G2" s="437" t="n"/>
      <c r="H2" s="437" t="n"/>
      <c r="I2" s="437" t="n"/>
      <c r="J2" s="437" t="n"/>
      <c r="K2" s="396" t="n"/>
      <c r="O2" s="443" t="n"/>
      <c r="P2" s="443" t="n"/>
      <c r="R2" s="450" t="n"/>
      <c r="S2" s="443" t="n"/>
      <c r="T2" s="443" t="n"/>
      <c r="U2" s="443" t="n"/>
      <c r="V2" s="463" t="n"/>
      <c r="W2" s="396" t="n"/>
      <c r="X2" s="396" t="n"/>
      <c r="Y2" s="397" t="n"/>
      <c r="Z2" s="397" t="n"/>
      <c r="AA2" s="397" t="n"/>
      <c r="AB2" s="443" t="n"/>
      <c r="AF2" s="450" t="n"/>
      <c r="AH2" s="450" t="n"/>
      <c r="AI2" s="443" t="n"/>
      <c r="AK2" s="443" t="n"/>
      <c r="AM2" s="450" t="n"/>
      <c r="AN2" s="450" t="n"/>
      <c r="AP2" s="398" t="n"/>
      <c r="AQ2" s="286" t="n"/>
      <c r="AR2" s="450" t="n"/>
      <c r="AT2" s="450" t="n"/>
      <c r="AV2" s="450" t="n"/>
    </row>
    <row r="3">
      <c r="A3" s="439" t="n"/>
      <c r="B3" s="440" t="n"/>
      <c r="C3" s="440" t="n"/>
      <c r="D3" s="440" t="n"/>
      <c r="E3" s="440" t="n"/>
      <c r="F3" s="440" t="n"/>
      <c r="G3" s="440" t="n"/>
      <c r="H3" s="440" t="n"/>
      <c r="I3" s="440" t="n"/>
      <c r="J3" s="440" t="n"/>
      <c r="K3" s="253" t="n"/>
      <c r="L3" s="441" t="n"/>
      <c r="M3" s="400" t="inlineStr">
        <is>
          <t>Actie</t>
        </is>
      </c>
      <c r="N3" s="401" t="n"/>
      <c r="O3" s="443" t="n"/>
      <c r="P3" s="265" t="n"/>
      <c r="Q3" s="443" t="n"/>
      <c r="R3" s="267" t="n"/>
      <c r="S3" s="443" t="n"/>
      <c r="T3" s="464" t="n"/>
      <c r="U3" s="443" t="n"/>
      <c r="V3" s="269" t="inlineStr">
        <is>
          <t>Freq.</t>
        </is>
      </c>
      <c r="W3" s="270" t="n"/>
      <c r="X3" s="443" t="n"/>
      <c r="Y3" s="400" t="inlineStr">
        <is>
          <t>Uitvoering</t>
        </is>
      </c>
      <c r="Z3" s="402" t="n"/>
      <c r="AA3" s="401" t="n"/>
      <c r="AB3" s="443" t="n"/>
      <c r="AC3" s="271" t="inlineStr">
        <is>
          <t>tijd (uur)</t>
        </is>
      </c>
      <c r="AD3" s="272" t="n"/>
      <c r="AE3" s="272" t="n"/>
      <c r="AF3" s="272" t="n"/>
      <c r="AG3" s="272" t="n"/>
      <c r="AH3" s="273" t="n"/>
      <c r="AI3" s="443" t="n"/>
      <c r="AJ3" s="255" t="n"/>
      <c r="AK3" s="443" t="n"/>
      <c r="AL3" s="255" t="n"/>
      <c r="AM3" s="443" t="n"/>
      <c r="AN3" s="255" t="n"/>
      <c r="AO3" s="443" t="n"/>
      <c r="AP3" s="465" t="n"/>
      <c r="AQ3" s="443" t="n"/>
      <c r="AR3" s="255" t="n"/>
      <c r="AS3" s="255" t="n"/>
      <c r="AT3" s="255" t="n"/>
      <c r="AU3" s="443" t="n"/>
      <c r="AV3" s="466" t="n"/>
      <c r="AW3" s="443" t="n"/>
      <c r="AX3" s="298" t="n"/>
    </row>
    <row r="4" ht="115.5" customHeight="1" s="189">
      <c r="A4" s="644" t="inlineStr">
        <is>
          <t>Deze lijst vult zichzelf vanuit het tabblad Invoer</t>
        </is>
      </c>
      <c r="B4" s="468" t="n"/>
      <c r="C4" s="468" t="n"/>
      <c r="D4" s="468" t="n"/>
      <c r="E4" s="468" t="n"/>
      <c r="F4" s="468" t="n"/>
      <c r="G4" s="468" t="n"/>
      <c r="H4" s="468" t="n"/>
      <c r="I4" s="468" t="n"/>
      <c r="J4" s="468" t="n"/>
      <c r="K4" s="304" t="inlineStr">
        <is>
          <t>Fysieke decompositie</t>
        </is>
      </c>
      <c r="L4" s="403" t="inlineStr">
        <is>
          <t>Aantal Componenten</t>
        </is>
      </c>
      <c r="M4" s="404" t="inlineStr">
        <is>
          <t>Reparatie</t>
        </is>
      </c>
      <c r="N4" s="469" t="inlineStr">
        <is>
          <t xml:space="preserve">Vervanging </t>
        </is>
      </c>
      <c r="O4" s="443" t="n"/>
      <c r="P4" s="406" t="inlineStr">
        <is>
          <t>Omschrijving</t>
        </is>
      </c>
      <c r="Q4" s="443" t="n"/>
      <c r="R4" s="447" t="inlineStr">
        <is>
          <t>Taak-ID</t>
        </is>
      </c>
      <c r="S4" s="443" t="n"/>
      <c r="T4" s="306" t="inlineStr">
        <is>
          <t>S.A.O.? (Ja / Nee)</t>
        </is>
      </c>
      <c r="U4" s="443" t="n"/>
      <c r="V4" s="321" t="inlineStr">
        <is>
          <t>Aantal keren per</t>
        </is>
      </c>
      <c r="W4" s="306" t="inlineStr">
        <is>
          <t>d / w / m / j</t>
        </is>
      </c>
      <c r="X4" s="443" t="n"/>
      <c r="Y4" s="312" t="inlineStr">
        <is>
          <t>Voor verhuur</t>
        </is>
      </c>
      <c r="Z4" s="313" t="inlineStr">
        <is>
          <t>Tijdens fietstocht</t>
        </is>
      </c>
      <c r="AA4" s="313" t="inlineStr">
        <is>
          <t>Alleen in groot onderhoud</t>
        </is>
      </c>
      <c r="AB4" s="314" t="n"/>
      <c r="AC4" s="313" t="inlineStr">
        <is>
          <t>Verhuurder</t>
        </is>
      </c>
      <c r="AD4" s="313" t="inlineStr">
        <is>
          <t>Huurder</t>
        </is>
      </c>
      <c r="AE4" s="313" t="inlineStr">
        <is>
          <t>Monteur</t>
        </is>
      </c>
      <c r="AF4" s="313">
        <f>Algemeen!AS13</f>
        <v/>
      </c>
      <c r="AG4" s="313">
        <f>Algemeen!AT13</f>
        <v/>
      </c>
      <c r="AH4" s="313">
        <f>Algemeen!AU13</f>
        <v/>
      </c>
      <c r="AI4" s="443" t="n"/>
      <c r="AJ4" s="309" t="inlineStr">
        <is>
          <t># man</t>
        </is>
      </c>
      <c r="AK4" s="443" t="n"/>
      <c r="AL4" s="309" t="inlineStr">
        <is>
          <t># man marinebedrijf/dienst</t>
        </is>
      </c>
      <c r="AM4" s="443" t="n"/>
      <c r="AN4" s="309" t="inlineStr">
        <is>
          <t>Vaste kosten</t>
        </is>
      </c>
      <c r="AO4" s="443" t="n"/>
      <c r="AP4" s="470" t="inlineStr">
        <is>
          <t>OH-kosten per jaar</t>
        </is>
      </c>
      <c r="AQ4" s="443" t="n"/>
      <c r="AR4" s="305" t="inlineStr">
        <is>
          <t>Zoektijd (uur)</t>
        </is>
      </c>
      <c r="AS4" s="305" t="inlineStr">
        <is>
          <t>reparatietijd (uur)</t>
        </is>
      </c>
      <c r="AT4" s="305" t="inlineStr">
        <is>
          <t>Wachttijd  (uur)</t>
        </is>
      </c>
      <c r="AU4" s="443" t="n"/>
      <c r="AV4" s="471" t="inlineStr">
        <is>
          <t>Verwachte Doorlooptijd (uur)</t>
        </is>
      </c>
      <c r="AW4" s="443" t="n"/>
      <c r="AX4" s="332" t="inlineStr">
        <is>
          <t>Opmerkingen</t>
        </is>
      </c>
    </row>
    <row r="5" ht="15" customHeight="1" s="189">
      <c r="A5" s="451" t="n"/>
      <c r="B5" s="451" t="n"/>
      <c r="C5" s="451" t="n"/>
      <c r="D5" s="451" t="n"/>
      <c r="E5" s="451" t="n"/>
      <c r="F5" s="451" t="n"/>
      <c r="G5" s="451" t="n"/>
      <c r="H5" s="451" t="n"/>
      <c r="I5" s="451" t="n"/>
      <c r="J5" s="451" t="n"/>
      <c r="L5" s="443" t="n"/>
      <c r="N5" s="443" t="n"/>
      <c r="O5" s="443" t="n"/>
      <c r="P5" s="443" t="n"/>
      <c r="R5" s="450" t="n"/>
      <c r="S5" s="443" t="n"/>
      <c r="T5" s="443" t="n"/>
      <c r="U5" s="443" t="n"/>
      <c r="V5" s="463" t="inlineStr">
        <is>
          <t xml:space="preserve"> </t>
        </is>
      </c>
      <c r="W5" s="443" t="n"/>
      <c r="Y5" s="450" t="n"/>
      <c r="AC5" s="419">
        <f>uurtarief_wd</f>
        <v/>
      </c>
      <c r="AD5" s="419" t="n">
        <v>100</v>
      </c>
      <c r="AE5" s="419" t="n">
        <v>50</v>
      </c>
      <c r="AF5" s="419" t="n">
        <v>100</v>
      </c>
      <c r="AG5" s="419" t="n">
        <v>100</v>
      </c>
      <c r="AH5" s="419" t="n">
        <v>100</v>
      </c>
      <c r="AI5" s="443" t="n"/>
      <c r="AK5" s="443" t="n"/>
      <c r="AM5" s="450" t="n"/>
      <c r="AN5" s="450" t="n"/>
      <c r="AP5" s="141" t="n"/>
      <c r="AQ5" s="451" t="n"/>
      <c r="AR5" s="141" t="n"/>
      <c r="AS5" s="141" t="n"/>
      <c r="AT5" s="141" t="n"/>
      <c r="AU5" s="451" t="n"/>
      <c r="AV5" s="141" t="n"/>
      <c r="AW5" s="451" t="n"/>
    </row>
    <row r="6" ht="10.5" customHeight="1" s="189">
      <c r="A6" s="472" t="n"/>
      <c r="B6" s="472" t="n"/>
      <c r="C6" s="472" t="n"/>
      <c r="D6" s="472" t="n"/>
      <c r="E6" s="472" t="n"/>
      <c r="F6" s="472" t="n"/>
      <c r="G6" s="472" t="n"/>
      <c r="H6" s="472" t="n"/>
      <c r="I6" s="472" t="n"/>
      <c r="J6" s="472" t="n"/>
      <c r="K6" s="411" t="n"/>
      <c r="O6" s="443" t="n"/>
      <c r="P6" s="443" t="n"/>
      <c r="R6" s="450" t="n"/>
      <c r="S6" s="443" t="n"/>
      <c r="T6" s="443" t="n"/>
      <c r="U6" s="443" t="n"/>
      <c r="V6" s="463" t="n"/>
      <c r="W6" s="443" t="n"/>
      <c r="Y6" s="450" t="n"/>
      <c r="AF6" s="450" t="n"/>
      <c r="AH6" s="450" t="n"/>
      <c r="AI6" s="443" t="n"/>
      <c r="AK6" s="443" t="n"/>
      <c r="AM6" s="450" t="n"/>
      <c r="AN6" s="450" t="n"/>
      <c r="AP6" s="398" t="n"/>
      <c r="AQ6" s="286" t="n"/>
      <c r="AR6" s="450" t="n"/>
      <c r="AT6" s="450" t="n"/>
      <c r="AU6" s="443" t="n"/>
      <c r="AV6" s="450" t="n"/>
      <c r="AW6" s="443" t="n"/>
    </row>
    <row r="7" ht="9.949999999999999" customHeight="1" s="189">
      <c r="A7" s="640">
        <f>IFERROR(N(INDEX(Invoer!$B$38:$B$57,MATCH(1,Invoer!$BI$38:$BI$57,0))),0)</f>
        <v/>
      </c>
      <c r="B7" s="641">
        <f>IFERROR(N(INDEX(Invoer!$C$38:$C$57,MATCH(1,Invoer!$BI$38:$BI$57,0))),0)</f>
        <v/>
      </c>
      <c r="C7" s="641">
        <f>IFERROR(N(INDEX(Invoer!$D$38:$D$57,MATCH(1,Invoer!$BI$38:$BI$57,0))),0)</f>
        <v/>
      </c>
      <c r="D7" s="641">
        <f>IFERROR(N(INDEX(Invoer!$E$38:$E$57,MATCH(1,Invoer!$BI$38:$BI$57,0))),0)</f>
        <v/>
      </c>
      <c r="E7" s="641">
        <f>IFERROR(N(INDEX(Invoer!$F$38:$F$57,MATCH(1,Invoer!$BI$38:$BI$57,0))),0)</f>
        <v/>
      </c>
      <c r="F7" s="641">
        <f>IFERROR(N(INDEX(Invoer!$G$38:$G$57,MATCH(1,Invoer!$BI$38:$BI$57,0))),0)</f>
        <v/>
      </c>
      <c r="G7" s="641">
        <f>IFERROR(N(INDEX(Invoer!$H$38:$H$57,MATCH(1,Invoer!$BI$38:$BI$57,0))),0)</f>
        <v/>
      </c>
      <c r="H7" s="641">
        <f>IFERROR(N(INDEX(Invoer!$I$38:$I$57,MATCH(1,Invoer!$BI$38:$BI$57,0))),0)</f>
        <v/>
      </c>
      <c r="I7" s="641">
        <f>IFERROR(N(INDEX(Invoer!$J$38:$J$57,MATCH(1,Invoer!$BI$38:$BI$57,0))),0)</f>
        <v/>
      </c>
      <c r="J7" s="641">
        <f>IFERROR(N(INDEX(Invoer!$K$38:$K$57,MATCH(1,Invoer!$BI$38:$BI$57,0))),0)</f>
        <v/>
      </c>
      <c r="K7" s="414">
        <f>IFERROR(IF(INDEX(Invoer!$L$38:$L$57,MATCH(1,Invoer!$BI$38:$BI$57,0))="","",INDEX(Invoer!$L$38:$L$57,MATCH(1,Invoer!$BI$38:$BI$57,0))),"")</f>
        <v/>
      </c>
      <c r="L7" s="642">
        <f>IFERROR(N(INDEX(Invoer!$M$38:$M$57,MATCH(1,Invoer!$BI$38:$BI$57,0))),0)</f>
        <v/>
      </c>
      <c r="M7" s="419">
        <f>IFERROR(IF(INDEX(Invoer!$BS$38:$BS$57,MATCH(1,Invoer!$BI$38:$BI$57,0))="","",INDEX(Invoer!$BS$38:$BS$57,MATCH(1,Invoer!$BI$38:$BI$57,0))),"")</f>
        <v/>
      </c>
      <c r="N7" s="419">
        <f>IFERROR(IF(INDEX(Invoer!$BT$38:$BT$57,MATCH(1,Invoer!$BI$38:$BI$57,0))="","",INDEX(Invoer!$BT$38:$BT$57,MATCH(1,Invoer!$BI$38:$BI$57,0))),"")</f>
        <v/>
      </c>
      <c r="O7" s="450" t="n"/>
      <c r="P7" s="421">
        <f>IFERROR(IF(INDEX(Invoer!$Q$38:$Q$57,MATCH(1,Invoer!$BI$38:$BI$57,0))="","",INDEX(Invoer!$Q$38:$Q$57,MATCH(1,Invoer!$BI$38:$BI$57,0))),"")</f>
        <v/>
      </c>
      <c r="Q7" s="450" t="n"/>
      <c r="R7" s="419">
        <f>IFERROR(IF(INDEX(Invoer!$R$38:$R$57,MATCH(1,Invoer!$BI$38:$BI$57,0))="","",INDEX(Invoer!$R$38:$R$57,MATCH(1,Invoer!$BI$38:$BI$57,0))),"")</f>
        <v/>
      </c>
      <c r="S7" s="450" t="n"/>
      <c r="T7" s="419">
        <f>IFERROR(IF(INDEX(Invoer!$P$38:$P$57,MATCH(1,Invoer!$BI$38:$BI$57,0))="","",INDEX(Invoer!$P$38:$P$57,MATCH(1,Invoer!$BI$38:$BI$57,0))),"")</f>
        <v/>
      </c>
      <c r="U7" s="450" t="n"/>
      <c r="V7" s="645">
        <f>IFERROR(N(INDEX(Invoer!$S$38:$S$57,MATCH(1,Invoer!$BI$38:$BI$57,0))),0)</f>
        <v/>
      </c>
      <c r="W7" s="419">
        <f>IFERROR(IF(INDEX(Invoer!$T$38:$T$57,MATCH(1,Invoer!$BI$38:$BI$57,0))="","",INDEX(Invoer!$T$38:$T$57,MATCH(1,Invoer!$BI$38:$BI$57,0))),"")</f>
        <v/>
      </c>
      <c r="Y7" s="419">
        <f>IFERROR(IF(INDEX(Invoer!$U$38:$U$57,MATCH(1,Invoer!$BI$38:$BI$57,0))="","",INDEX(Invoer!$U$38:$U$57,MATCH(1,Invoer!$BI$38:$BI$57,0))),"")</f>
        <v/>
      </c>
      <c r="Z7" s="419">
        <f>IFERROR(IF(INDEX(Invoer!$V$38:$V$57,MATCH(1,Invoer!$BI$38:$BI$57,0))="","",INDEX(Invoer!$V$38:$V$57,MATCH(1,Invoer!$BI$38:$BI$57,0))),"")</f>
        <v/>
      </c>
      <c r="AA7" s="419">
        <f>IFERROR(IF(INDEX(Invoer!$W$38:$W$57,MATCH(1,Invoer!$BI$38:$BI$57,0))="","",INDEX(Invoer!$W$38:$W$57,MATCH(1,Invoer!$BI$38:$BI$57,0))),"")</f>
        <v/>
      </c>
      <c r="AC7" s="642">
        <f>IFERROR(N(INDEX(Invoer!$X$38:$X$57,MATCH(1,Invoer!$BI$38:$BI$57,0))),0)</f>
        <v/>
      </c>
      <c r="AD7" s="642">
        <f>IFERROR(N(INDEX(Invoer!$Y$38:$Y$57,MATCH(1,Invoer!$BI$38:$BI$57,0))),0)</f>
        <v/>
      </c>
      <c r="AE7" s="642">
        <f>IFERROR(N(INDEX(Invoer!$Z$38:$Z$57,MATCH(1,Invoer!$BI$38:$BI$57,0))),0)</f>
        <v/>
      </c>
      <c r="AF7" s="642">
        <f>IFERROR(N(INDEX(Invoer!$AA$38:$AA$57,MATCH(1,Invoer!$BI$38:$BI$57,0))),0)</f>
        <v/>
      </c>
      <c r="AG7" s="642">
        <f>IFERROR(N(INDEX(Invoer!$AB$38:$AB$57,MATCH(1,Invoer!$BI$38:$BI$57,0))),0)</f>
        <v/>
      </c>
      <c r="AH7" s="642">
        <f>IFERROR(N(INDEX(Invoer!$AC$38:$AC$57,MATCH(1,Invoer!$BI$38:$BI$57,0))),0)</f>
        <v/>
      </c>
      <c r="AJ7" s="642">
        <f>IFERROR(N(INDEX(Invoer!$BC$38:$BC$57,MATCH(1,Invoer!$BI$38:$BI$57,0))),0)</f>
        <v/>
      </c>
      <c r="AL7" s="642">
        <f>IFERROR(N(INDEX(Invoer!$BD$38:$BD$57,MATCH(1,Invoer!$BI$38:$BI$57,0))),0)</f>
        <v/>
      </c>
      <c r="AM7" s="450" t="n"/>
      <c r="AN7" s="642">
        <f>IFERROR(N(INDEX(Invoer!$AD$38:$AD$57,MATCH(1,Invoer!$BI$38:$BI$57,0))),0)</f>
        <v/>
      </c>
      <c r="AP7" s="452">
        <f>(($AC$5*(IF(ISNUMBER($AC7),$AC7,0))+$AD$5*(IF(ISNUMBER($AD7),$AD7,0))+$AE$5*(IF(ISNUMBER($AE7),$AE7,0))+$AF$5*(IF(ISNUMBER($AF7),$AF7,0))+$AG$5*(IF(ISNUMBER($AG7),$AG7,0))+$AH$5*(IF(ISNUMBER($AH7),$AH7,0)))+(IF(ISNUMBER($AN7),$AN7,0)))*(IF(W7="j",1,IF(W7="m",12,IF(W7="w",52,IF(W7="d",365,0)))))*V7</f>
        <v/>
      </c>
      <c r="AQ7" s="286" t="n"/>
      <c r="AR7" s="642">
        <f>IFERROR(N(INDEX(Invoer!$AL$38:$AL$57,MATCH(1,Invoer!$BI$38:$BI$57,0))),0)</f>
        <v/>
      </c>
      <c r="AS7" s="642">
        <f>IFERROR(N(INDEX(Invoer!$AM$38:$AM$57,MATCH(1,Invoer!$BI$38:$BI$57,0))),0)</f>
        <v/>
      </c>
      <c r="AT7" s="642">
        <f>IFERROR(N(INDEX(Invoer!$AN$38:$AN$57,MATCH(1,Invoer!$BI$38:$BI$57,0))),0)</f>
        <v/>
      </c>
      <c r="AV7" s="452">
        <f>$AR7+$AS7+$AT7</f>
        <v/>
      </c>
      <c r="AX7" s="420">
        <f>IFERROR(IF(INDEX(Invoer!$BE$38:$BE$57,MATCH(1,Invoer!$BI$38:$BI$57,0))="","",INDEX(Invoer!$BE$38:$BE$57,MATCH(1,Invoer!$BI$38:$BI$57,0))),"")</f>
        <v/>
      </c>
    </row>
    <row r="8" ht="9.949999999999999" customHeight="1" s="189">
      <c r="A8" s="640">
        <f>IFERROR(N(INDEX(Invoer!$B$38:$B$57,MATCH(2,Invoer!$BI$38:$BI$57,0))),0)</f>
        <v/>
      </c>
      <c r="B8" s="640">
        <f>IFERROR(N(INDEX(Invoer!$C$38:$C$57,MATCH(2,Invoer!$BI$38:$BI$57,0))),0)</f>
        <v/>
      </c>
      <c r="C8" s="641">
        <f>IFERROR(N(INDEX(Invoer!$D$38:$D$57,MATCH(2,Invoer!$BI$38:$BI$57,0))),0)</f>
        <v/>
      </c>
      <c r="D8" s="640">
        <f>IFERROR(N(INDEX(Invoer!$E$38:$E$57,MATCH(2,Invoer!$BI$38:$BI$57,0))),0)</f>
        <v/>
      </c>
      <c r="E8" s="640">
        <f>IFERROR(N(INDEX(Invoer!$F$38:$F$57,MATCH(2,Invoer!$BI$38:$BI$57,0))),0)</f>
        <v/>
      </c>
      <c r="F8" s="640">
        <f>IFERROR(N(INDEX(Invoer!$G$38:$G$57,MATCH(2,Invoer!$BI$38:$BI$57,0))),0)</f>
        <v/>
      </c>
      <c r="G8" s="640">
        <f>IFERROR(N(INDEX(Invoer!$H$38:$H$57,MATCH(2,Invoer!$BI$38:$BI$57,0))),0)</f>
        <v/>
      </c>
      <c r="H8" s="640">
        <f>IFERROR(N(INDEX(Invoer!$I$38:$I$57,MATCH(2,Invoer!$BI$38:$BI$57,0))),0)</f>
        <v/>
      </c>
      <c r="I8" s="640">
        <f>IFERROR(N(INDEX(Invoer!$J$38:$J$57,MATCH(2,Invoer!$BI$38:$BI$57,0))),0)</f>
        <v/>
      </c>
      <c r="J8" s="640">
        <f>IFERROR(N(INDEX(Invoer!$K$38:$K$57,MATCH(2,Invoer!$BI$38:$BI$57,0))),0)</f>
        <v/>
      </c>
      <c r="K8" s="414">
        <f>IFERROR(IF(INDEX(Invoer!$L$38:$L$57,MATCH(2,Invoer!$BI$38:$BI$57,0))="","",INDEX(Invoer!$L$38:$L$57,MATCH(2,Invoer!$BI$38:$BI$57,0))),"")</f>
        <v/>
      </c>
      <c r="L8" s="642">
        <f>IFERROR(N(INDEX(Invoer!$M$38:$M$57,MATCH(2,Invoer!$BI$38:$BI$57,0))),0)</f>
        <v/>
      </c>
      <c r="M8" s="419">
        <f>IFERROR(IF(INDEX(Invoer!$BS$38:$BS$57,MATCH(2,Invoer!$BI$38:$BI$57,0))="","",INDEX(Invoer!$BS$38:$BS$57,MATCH(2,Invoer!$BI$38:$BI$57,0))),"")</f>
        <v/>
      </c>
      <c r="N8" s="419">
        <f>IFERROR(IF(INDEX(Invoer!$BT$38:$BT$57,MATCH(2,Invoer!$BI$38:$BI$57,0))="","",INDEX(Invoer!$BT$38:$BT$57,MATCH(2,Invoer!$BI$38:$BI$57,0))),"")</f>
        <v/>
      </c>
      <c r="O8" s="450" t="n"/>
      <c r="P8" s="421">
        <f>IFERROR(IF(INDEX(Invoer!$Q$38:$Q$57,MATCH(2,Invoer!$BI$38:$BI$57,0))="","",INDEX(Invoer!$Q$38:$Q$57,MATCH(2,Invoer!$BI$38:$BI$57,0))),"")</f>
        <v/>
      </c>
      <c r="Q8" s="450" t="n"/>
      <c r="R8" s="419">
        <f>IFERROR(IF(INDEX(Invoer!$R$38:$R$57,MATCH(2,Invoer!$BI$38:$BI$57,0))="","",INDEX(Invoer!$R$38:$R$57,MATCH(2,Invoer!$BI$38:$BI$57,0))),"")</f>
        <v/>
      </c>
      <c r="S8" s="450" t="n"/>
      <c r="T8" s="419">
        <f>IFERROR(IF(INDEX(Invoer!$P$38:$P$57,MATCH(2,Invoer!$BI$38:$BI$57,0))="","",INDEX(Invoer!$P$38:$P$57,MATCH(2,Invoer!$BI$38:$BI$57,0))),"")</f>
        <v/>
      </c>
      <c r="U8" s="450" t="n"/>
      <c r="V8" s="645">
        <f>IFERROR(N(INDEX(Invoer!$S$38:$S$57,MATCH(2,Invoer!$BI$38:$BI$57,0))),0)</f>
        <v/>
      </c>
      <c r="W8" s="419">
        <f>IFERROR(IF(INDEX(Invoer!$T$38:$T$57,MATCH(2,Invoer!$BI$38:$BI$57,0))="","",INDEX(Invoer!$T$38:$T$57,MATCH(2,Invoer!$BI$38:$BI$57,0))),"")</f>
        <v/>
      </c>
      <c r="Y8" s="419">
        <f>IFERROR(IF(INDEX(Invoer!$U$38:$U$57,MATCH(2,Invoer!$BI$38:$BI$57,0))="","",INDEX(Invoer!$U$38:$U$57,MATCH(2,Invoer!$BI$38:$BI$57,0))),"")</f>
        <v/>
      </c>
      <c r="Z8" s="419">
        <f>IFERROR(IF(INDEX(Invoer!$V$38:$V$57,MATCH(2,Invoer!$BI$38:$BI$57,0))="","",INDEX(Invoer!$V$38:$V$57,MATCH(2,Invoer!$BI$38:$BI$57,0))),"")</f>
        <v/>
      </c>
      <c r="AA8" s="419">
        <f>IFERROR(IF(INDEX(Invoer!$W$38:$W$57,MATCH(2,Invoer!$BI$38:$BI$57,0))="","",INDEX(Invoer!$W$38:$W$57,MATCH(2,Invoer!$BI$38:$BI$57,0))),"")</f>
        <v/>
      </c>
      <c r="AC8" s="642">
        <f>IFERROR(N(INDEX(Invoer!$X$38:$X$57,MATCH(2,Invoer!$BI$38:$BI$57,0))),0)</f>
        <v/>
      </c>
      <c r="AD8" s="642">
        <f>IFERROR(N(INDEX(Invoer!$Y$38:$Y$57,MATCH(2,Invoer!$BI$38:$BI$57,0))),0)</f>
        <v/>
      </c>
      <c r="AE8" s="642">
        <f>IFERROR(N(INDEX(Invoer!$Z$38:$Z$57,MATCH(2,Invoer!$BI$38:$BI$57,0))),0)</f>
        <v/>
      </c>
      <c r="AF8" s="642">
        <f>IFERROR(N(INDEX(Invoer!$AA$38:$AA$57,MATCH(2,Invoer!$BI$38:$BI$57,0))),0)</f>
        <v/>
      </c>
      <c r="AG8" s="642">
        <f>IFERROR(N(INDEX(Invoer!$AB$38:$AB$57,MATCH(2,Invoer!$BI$38:$BI$57,0))),0)</f>
        <v/>
      </c>
      <c r="AH8" s="642">
        <f>IFERROR(N(INDEX(Invoer!$AC$38:$AC$57,MATCH(2,Invoer!$BI$38:$BI$57,0))),0)</f>
        <v/>
      </c>
      <c r="AJ8" s="642">
        <f>IFERROR(N(INDEX(Invoer!$BC$38:$BC$57,MATCH(2,Invoer!$BI$38:$BI$57,0))),0)</f>
        <v/>
      </c>
      <c r="AL8" s="642">
        <f>IFERROR(N(INDEX(Invoer!$BD$38:$BD$57,MATCH(2,Invoer!$BI$38:$BI$57,0))),0)</f>
        <v/>
      </c>
      <c r="AM8" s="450" t="n"/>
      <c r="AN8" s="642">
        <f>IFERROR(N(INDEX(Invoer!$AD$38:$AD$57,MATCH(2,Invoer!$BI$38:$BI$57,0))),0)</f>
        <v/>
      </c>
      <c r="AP8" s="452">
        <f>(($AC$5*(IF(ISNUMBER($AC8),$AC8,0))+$AD$5*(IF(ISNUMBER($AD8),$AD8,0))+$AE$5*(IF(ISNUMBER($AE8),$AE8,0))+$AF$5*(IF(ISNUMBER($AF8),$AF8,0))+$AG$5*(IF(ISNUMBER($AG8),$AG8,0))+$AH$5*(IF(ISNUMBER($AH8),$AH8,0)))+(IF(ISNUMBER($AN8),$AN8,0)))*(IF(W8="j",1,IF(W8="m",12,IF(W8="w",52,IF(W8="d",365,0)))))*V8</f>
        <v/>
      </c>
      <c r="AQ8" s="286" t="n"/>
      <c r="AR8" s="642">
        <f>IFERROR(N(INDEX(Invoer!$AL$38:$AL$57,MATCH(2,Invoer!$BI$38:$BI$57,0))),0)</f>
        <v/>
      </c>
      <c r="AS8" s="642">
        <f>IFERROR(N(INDEX(Invoer!$AM$38:$AM$57,MATCH(2,Invoer!$BI$38:$BI$57,0))),0)</f>
        <v/>
      </c>
      <c r="AT8" s="642">
        <f>IFERROR(N(INDEX(Invoer!$AN$38:$AN$57,MATCH(2,Invoer!$BI$38:$BI$57,0))),0)</f>
        <v/>
      </c>
      <c r="AV8" s="452">
        <f>$AR8+$AS8+$AT8</f>
        <v/>
      </c>
      <c r="AX8" s="420">
        <f>IFERROR(IF(INDEX(Invoer!$BE$38:$BE$57,MATCH(2,Invoer!$BI$38:$BI$57,0))="","",INDEX(Invoer!$BE$38:$BE$57,MATCH(2,Invoer!$BI$38:$BI$57,0))),"")</f>
        <v/>
      </c>
    </row>
    <row r="9" ht="9.949999999999999" customHeight="1" s="189">
      <c r="A9" s="640">
        <f>IFERROR(N(INDEX(Invoer!$B$38:$B$57,MATCH(3,Invoer!$BI$38:$BI$57,0))),0)</f>
        <v/>
      </c>
      <c r="B9" s="640">
        <f>IFERROR(N(INDEX(Invoer!$C$38:$C$57,MATCH(3,Invoer!$BI$38:$BI$57,0))),0)</f>
        <v/>
      </c>
      <c r="C9" s="640">
        <f>IFERROR(N(INDEX(Invoer!$D$38:$D$57,MATCH(3,Invoer!$BI$38:$BI$57,0))),0)</f>
        <v/>
      </c>
      <c r="D9" s="640">
        <f>IFERROR(N(INDEX(Invoer!$E$38:$E$57,MATCH(3,Invoer!$BI$38:$BI$57,0))),0)</f>
        <v/>
      </c>
      <c r="E9" s="640">
        <f>IFERROR(N(INDEX(Invoer!$F$38:$F$57,MATCH(3,Invoer!$BI$38:$BI$57,0))),0)</f>
        <v/>
      </c>
      <c r="F9" s="640">
        <f>IFERROR(N(INDEX(Invoer!$G$38:$G$57,MATCH(3,Invoer!$BI$38:$BI$57,0))),0)</f>
        <v/>
      </c>
      <c r="G9" s="640">
        <f>IFERROR(N(INDEX(Invoer!$H$38:$H$57,MATCH(3,Invoer!$BI$38:$BI$57,0))),0)</f>
        <v/>
      </c>
      <c r="H9" s="640">
        <f>IFERROR(N(INDEX(Invoer!$I$38:$I$57,MATCH(3,Invoer!$BI$38:$BI$57,0))),0)</f>
        <v/>
      </c>
      <c r="I9" s="640">
        <f>IFERROR(N(INDEX(Invoer!$J$38:$J$57,MATCH(3,Invoer!$BI$38:$BI$57,0))),0)</f>
        <v/>
      </c>
      <c r="J9" s="640">
        <f>IFERROR(N(INDEX(Invoer!$K$38:$K$57,MATCH(3,Invoer!$BI$38:$BI$57,0))),0)</f>
        <v/>
      </c>
      <c r="K9" s="414">
        <f>IFERROR(IF(INDEX(Invoer!$L$38:$L$57,MATCH(3,Invoer!$BI$38:$BI$57,0))="","",INDEX(Invoer!$L$38:$L$57,MATCH(3,Invoer!$BI$38:$BI$57,0))),"")</f>
        <v/>
      </c>
      <c r="L9" s="642">
        <f>IFERROR(N(INDEX(Invoer!$M$38:$M$57,MATCH(3,Invoer!$BI$38:$BI$57,0))),0)</f>
        <v/>
      </c>
      <c r="M9" s="419">
        <f>IFERROR(IF(INDEX(Invoer!$BS$38:$BS$57,MATCH(3,Invoer!$BI$38:$BI$57,0))="","",INDEX(Invoer!$BS$38:$BS$57,MATCH(3,Invoer!$BI$38:$BI$57,0))),"")</f>
        <v/>
      </c>
      <c r="N9" s="419">
        <f>IFERROR(IF(INDEX(Invoer!$BT$38:$BT$57,MATCH(3,Invoer!$BI$38:$BI$57,0))="","",INDEX(Invoer!$BT$38:$BT$57,MATCH(3,Invoer!$BI$38:$BI$57,0))),"")</f>
        <v/>
      </c>
      <c r="O9" s="450" t="n"/>
      <c r="P9" s="416">
        <f>IFERROR(IF(INDEX(Invoer!$Q$38:$Q$57,MATCH(3,Invoer!$BI$38:$BI$57,0))="","",INDEX(Invoer!$Q$38:$Q$57,MATCH(3,Invoer!$BI$38:$BI$57,0))),"")</f>
        <v/>
      </c>
      <c r="Q9" s="450" t="n"/>
      <c r="R9" s="419">
        <f>IFERROR(IF(INDEX(Invoer!$R$38:$R$57,MATCH(3,Invoer!$BI$38:$BI$57,0))="","",INDEX(Invoer!$R$38:$R$57,MATCH(3,Invoer!$BI$38:$BI$57,0))),"")</f>
        <v/>
      </c>
      <c r="S9" s="450" t="n"/>
      <c r="T9" s="419">
        <f>IFERROR(IF(INDEX(Invoer!$P$38:$P$57,MATCH(3,Invoer!$BI$38:$BI$57,0))="","",INDEX(Invoer!$P$38:$P$57,MATCH(3,Invoer!$BI$38:$BI$57,0))),"")</f>
        <v/>
      </c>
      <c r="U9" s="450" t="n"/>
      <c r="V9" s="645">
        <f>IFERROR(N(INDEX(Invoer!$S$38:$S$57,MATCH(3,Invoer!$BI$38:$BI$57,0))),0)</f>
        <v/>
      </c>
      <c r="W9" s="419">
        <f>IFERROR(IF(INDEX(Invoer!$T$38:$T$57,MATCH(3,Invoer!$BI$38:$BI$57,0))="","",INDEX(Invoer!$T$38:$T$57,MATCH(3,Invoer!$BI$38:$BI$57,0))),"")</f>
        <v/>
      </c>
      <c r="Y9" s="419">
        <f>IFERROR(IF(INDEX(Invoer!$U$38:$U$57,MATCH(3,Invoer!$BI$38:$BI$57,0))="","",INDEX(Invoer!$U$38:$U$57,MATCH(3,Invoer!$BI$38:$BI$57,0))),"")</f>
        <v/>
      </c>
      <c r="Z9" s="419">
        <f>IFERROR(IF(INDEX(Invoer!$V$38:$V$57,MATCH(3,Invoer!$BI$38:$BI$57,0))="","",INDEX(Invoer!$V$38:$V$57,MATCH(3,Invoer!$BI$38:$BI$57,0))),"")</f>
        <v/>
      </c>
      <c r="AA9" s="419">
        <f>IFERROR(IF(INDEX(Invoer!$W$38:$W$57,MATCH(3,Invoer!$BI$38:$BI$57,0))="","",INDEX(Invoer!$W$38:$W$57,MATCH(3,Invoer!$BI$38:$BI$57,0))),"")</f>
        <v/>
      </c>
      <c r="AC9" s="642">
        <f>IFERROR(N(INDEX(Invoer!$X$38:$X$57,MATCH(3,Invoer!$BI$38:$BI$57,0))),0)</f>
        <v/>
      </c>
      <c r="AD9" s="642">
        <f>IFERROR(N(INDEX(Invoer!$Y$38:$Y$57,MATCH(3,Invoer!$BI$38:$BI$57,0))),0)</f>
        <v/>
      </c>
      <c r="AE9" s="642">
        <f>IFERROR(N(INDEX(Invoer!$Z$38:$Z$57,MATCH(3,Invoer!$BI$38:$BI$57,0))),0)</f>
        <v/>
      </c>
      <c r="AF9" s="642">
        <f>IFERROR(N(INDEX(Invoer!$AA$38:$AA$57,MATCH(3,Invoer!$BI$38:$BI$57,0))),0)</f>
        <v/>
      </c>
      <c r="AG9" s="642">
        <f>IFERROR(N(INDEX(Invoer!$AB$38:$AB$57,MATCH(3,Invoer!$BI$38:$BI$57,0))),0)</f>
        <v/>
      </c>
      <c r="AH9" s="642">
        <f>IFERROR(N(INDEX(Invoer!$AC$38:$AC$57,MATCH(3,Invoer!$BI$38:$BI$57,0))),0)</f>
        <v/>
      </c>
      <c r="AJ9" s="642">
        <f>IFERROR(N(INDEX(Invoer!$BC$38:$BC$57,MATCH(3,Invoer!$BI$38:$BI$57,0))),0)</f>
        <v/>
      </c>
      <c r="AL9" s="642">
        <f>IFERROR(N(INDEX(Invoer!$BD$38:$BD$57,MATCH(3,Invoer!$BI$38:$BI$57,0))),0)</f>
        <v/>
      </c>
      <c r="AM9" s="450" t="n"/>
      <c r="AN9" s="642">
        <f>IFERROR(N(INDEX(Invoer!$AD$38:$AD$57,MATCH(3,Invoer!$BI$38:$BI$57,0))),0)</f>
        <v/>
      </c>
      <c r="AP9" s="452">
        <f>(($AC$5*(IF(ISNUMBER($AC9),$AC9,0))+$AD$5*(IF(ISNUMBER($AD9),$AD9,0))+$AE$5*(IF(ISNUMBER($AE9),$AE9,0))+$AF$5*(IF(ISNUMBER($AF9),$AF9,0))+$AG$5*(IF(ISNUMBER($AG9),$AG9,0))+$AH$5*(IF(ISNUMBER($AH9),$AH9,0)))+(IF(ISNUMBER($AN9),$AN9,0)))*(IF(W9="j",1,IF(W9="m",12,IF(W9="w",52,IF(W9="d",365,0)))))*V9</f>
        <v/>
      </c>
      <c r="AQ9" s="286" t="n"/>
      <c r="AR9" s="642">
        <f>IFERROR(N(INDEX(Invoer!$AL$38:$AL$57,MATCH(3,Invoer!$BI$38:$BI$57,0))),0)</f>
        <v/>
      </c>
      <c r="AS9" s="642">
        <f>IFERROR(N(INDEX(Invoer!$AM$38:$AM$57,MATCH(3,Invoer!$BI$38:$BI$57,0))),0)</f>
        <v/>
      </c>
      <c r="AT9" s="642">
        <f>IFERROR(N(INDEX(Invoer!$AN$38:$AN$57,MATCH(3,Invoer!$BI$38:$BI$57,0))),0)</f>
        <v/>
      </c>
      <c r="AV9" s="452">
        <f>$AR9+$AS9+$AT9</f>
        <v/>
      </c>
      <c r="AX9" s="420">
        <f>IFERROR(IF(INDEX(Invoer!$BE$38:$BE$57,MATCH(3,Invoer!$BI$38:$BI$57,0))="","",INDEX(Invoer!$BE$38:$BE$57,MATCH(3,Invoer!$BI$38:$BI$57,0))),"")</f>
        <v/>
      </c>
    </row>
    <row r="10" ht="9.949999999999999" customHeight="1" s="189">
      <c r="A10" s="640">
        <f>IFERROR(N(INDEX(Invoer!$B$38:$B$57,MATCH(4,Invoer!$BI$38:$BI$57,0))),0)</f>
        <v/>
      </c>
      <c r="B10" s="641">
        <f>IFERROR(N(INDEX(Invoer!$C$38:$C$57,MATCH(4,Invoer!$BI$38:$BI$57,0))),0)</f>
        <v/>
      </c>
      <c r="C10" s="640">
        <f>IFERROR(N(INDEX(Invoer!$D$38:$D$57,MATCH(4,Invoer!$BI$38:$BI$57,0))),0)</f>
        <v/>
      </c>
      <c r="D10" s="640">
        <f>IFERROR(N(INDEX(Invoer!$E$38:$E$57,MATCH(4,Invoer!$BI$38:$BI$57,0))),0)</f>
        <v/>
      </c>
      <c r="E10" s="640">
        <f>IFERROR(N(INDEX(Invoer!$F$38:$F$57,MATCH(4,Invoer!$BI$38:$BI$57,0))),0)</f>
        <v/>
      </c>
      <c r="F10" s="640">
        <f>IFERROR(N(INDEX(Invoer!$G$38:$G$57,MATCH(4,Invoer!$BI$38:$BI$57,0))),0)</f>
        <v/>
      </c>
      <c r="G10" s="640">
        <f>IFERROR(N(INDEX(Invoer!$H$38:$H$57,MATCH(4,Invoer!$BI$38:$BI$57,0))),0)</f>
        <v/>
      </c>
      <c r="H10" s="640">
        <f>IFERROR(N(INDEX(Invoer!$I$38:$I$57,MATCH(4,Invoer!$BI$38:$BI$57,0))),0)</f>
        <v/>
      </c>
      <c r="I10" s="640">
        <f>IFERROR(N(INDEX(Invoer!$J$38:$J$57,MATCH(4,Invoer!$BI$38:$BI$57,0))),0)</f>
        <v/>
      </c>
      <c r="J10" s="640">
        <f>IFERROR(N(INDEX(Invoer!$K$38:$K$57,MATCH(4,Invoer!$BI$38:$BI$57,0))),0)</f>
        <v/>
      </c>
      <c r="K10" s="414">
        <f>IFERROR(IF(INDEX(Invoer!$L$38:$L$57,MATCH(4,Invoer!$BI$38:$BI$57,0))="","",INDEX(Invoer!$L$38:$L$57,MATCH(4,Invoer!$BI$38:$BI$57,0))),"")</f>
        <v/>
      </c>
      <c r="L10" s="642">
        <f>IFERROR(N(INDEX(Invoer!$M$38:$M$57,MATCH(4,Invoer!$BI$38:$BI$57,0))),0)</f>
        <v/>
      </c>
      <c r="M10" s="419">
        <f>IFERROR(IF(INDEX(Invoer!$BS$38:$BS$57,MATCH(4,Invoer!$BI$38:$BI$57,0))="","",INDEX(Invoer!$BS$38:$BS$57,MATCH(4,Invoer!$BI$38:$BI$57,0))),"")</f>
        <v/>
      </c>
      <c r="N10" s="419">
        <f>IFERROR(IF(INDEX(Invoer!$BT$38:$BT$57,MATCH(4,Invoer!$BI$38:$BI$57,0))="","",INDEX(Invoer!$BT$38:$BT$57,MATCH(4,Invoer!$BI$38:$BI$57,0))),"")</f>
        <v/>
      </c>
      <c r="O10" s="450" t="n"/>
      <c r="P10" s="421">
        <f>IFERROR(IF(INDEX(Invoer!$Q$38:$Q$57,MATCH(4,Invoer!$BI$38:$BI$57,0))="","",INDEX(Invoer!$Q$38:$Q$57,MATCH(4,Invoer!$BI$38:$BI$57,0))),"")</f>
        <v/>
      </c>
      <c r="Q10" s="450" t="n"/>
      <c r="R10" s="419">
        <f>IFERROR(IF(INDEX(Invoer!$R$38:$R$57,MATCH(4,Invoer!$BI$38:$BI$57,0))="","",INDEX(Invoer!$R$38:$R$57,MATCH(4,Invoer!$BI$38:$BI$57,0))),"")</f>
        <v/>
      </c>
      <c r="S10" s="450" t="n"/>
      <c r="T10" s="419">
        <f>IFERROR(IF(INDEX(Invoer!$P$38:$P$57,MATCH(4,Invoer!$BI$38:$BI$57,0))="","",INDEX(Invoer!$P$38:$P$57,MATCH(4,Invoer!$BI$38:$BI$57,0))),"")</f>
        <v/>
      </c>
      <c r="U10" s="450" t="n"/>
      <c r="V10" s="645">
        <f>IFERROR(N(INDEX(Invoer!$S$38:$S$57,MATCH(4,Invoer!$BI$38:$BI$57,0))),0)</f>
        <v/>
      </c>
      <c r="W10" s="419">
        <f>IFERROR(IF(INDEX(Invoer!$T$38:$T$57,MATCH(4,Invoer!$BI$38:$BI$57,0))="","",INDEX(Invoer!$T$38:$T$57,MATCH(4,Invoer!$BI$38:$BI$57,0))),"")</f>
        <v/>
      </c>
      <c r="Y10" s="419">
        <f>IFERROR(IF(INDEX(Invoer!$U$38:$U$57,MATCH(4,Invoer!$BI$38:$BI$57,0))="","",INDEX(Invoer!$U$38:$U$57,MATCH(4,Invoer!$BI$38:$BI$57,0))),"")</f>
        <v/>
      </c>
      <c r="Z10" s="419">
        <f>IFERROR(IF(INDEX(Invoer!$V$38:$V$57,MATCH(4,Invoer!$BI$38:$BI$57,0))="","",INDEX(Invoer!$V$38:$V$57,MATCH(4,Invoer!$BI$38:$BI$57,0))),"")</f>
        <v/>
      </c>
      <c r="AA10" s="419">
        <f>IFERROR(IF(INDEX(Invoer!$W$38:$W$57,MATCH(4,Invoer!$BI$38:$BI$57,0))="","",INDEX(Invoer!$W$38:$W$57,MATCH(4,Invoer!$BI$38:$BI$57,0))),"")</f>
        <v/>
      </c>
      <c r="AC10" s="642">
        <f>IFERROR(N(INDEX(Invoer!$X$38:$X$57,MATCH(4,Invoer!$BI$38:$BI$57,0))),0)</f>
        <v/>
      </c>
      <c r="AD10" s="642">
        <f>IFERROR(N(INDEX(Invoer!$Y$38:$Y$57,MATCH(4,Invoer!$BI$38:$BI$57,0))),0)</f>
        <v/>
      </c>
      <c r="AE10" s="642">
        <f>IFERROR(N(INDEX(Invoer!$Z$38:$Z$57,MATCH(4,Invoer!$BI$38:$BI$57,0))),0)</f>
        <v/>
      </c>
      <c r="AF10" s="642">
        <f>IFERROR(N(INDEX(Invoer!$AA$38:$AA$57,MATCH(4,Invoer!$BI$38:$BI$57,0))),0)</f>
        <v/>
      </c>
      <c r="AG10" s="642">
        <f>IFERROR(N(INDEX(Invoer!$AB$38:$AB$57,MATCH(4,Invoer!$BI$38:$BI$57,0))),0)</f>
        <v/>
      </c>
      <c r="AH10" s="642">
        <f>IFERROR(N(INDEX(Invoer!$AC$38:$AC$57,MATCH(4,Invoer!$BI$38:$BI$57,0))),0)</f>
        <v/>
      </c>
      <c r="AJ10" s="642">
        <f>IFERROR(N(INDEX(Invoer!$BC$38:$BC$57,MATCH(4,Invoer!$BI$38:$BI$57,0))),0)</f>
        <v/>
      </c>
      <c r="AL10" s="642">
        <f>IFERROR(N(INDEX(Invoer!$BD$38:$BD$57,MATCH(4,Invoer!$BI$38:$BI$57,0))),0)</f>
        <v/>
      </c>
      <c r="AM10" s="450" t="n"/>
      <c r="AN10" s="642">
        <f>IFERROR(N(INDEX(Invoer!$AD$38:$AD$57,MATCH(4,Invoer!$BI$38:$BI$57,0))),0)</f>
        <v/>
      </c>
      <c r="AP10" s="452">
        <f>(($AC$5*(IF(ISNUMBER($AC10),$AC10,0))+$AD$5*(IF(ISNUMBER($AD10),$AD10,0))+$AE$5*(IF(ISNUMBER($AE10),$AE10,0))+$AF$5*(IF(ISNUMBER($AF10),$AF10,0))+$AG$5*(IF(ISNUMBER($AG10),$AG10,0))+$AH$5*(IF(ISNUMBER($AH10),$AH10,0)))+(IF(ISNUMBER($AN10),$AN10,0)))*(IF(W10="j",1,IF(W10="m",12,IF(W10="w",52,IF(W10="d",365,0)))))*V10</f>
        <v/>
      </c>
      <c r="AQ10" s="286" t="n"/>
      <c r="AR10" s="642">
        <f>IFERROR(N(INDEX(Invoer!$AL$38:$AL$57,MATCH(4,Invoer!$BI$38:$BI$57,0))),0)</f>
        <v/>
      </c>
      <c r="AS10" s="642">
        <f>IFERROR(N(INDEX(Invoer!$AM$38:$AM$57,MATCH(4,Invoer!$BI$38:$BI$57,0))),0)</f>
        <v/>
      </c>
      <c r="AT10" s="642">
        <f>IFERROR(N(INDEX(Invoer!$AN$38:$AN$57,MATCH(4,Invoer!$BI$38:$BI$57,0))),0)</f>
        <v/>
      </c>
      <c r="AV10" s="452">
        <f>$AR10+$AS10+$AT10</f>
        <v/>
      </c>
      <c r="AX10" s="420">
        <f>IFERROR(IF(INDEX(Invoer!$BE$38:$BE$57,MATCH(4,Invoer!$BI$38:$BI$57,0))="","",INDEX(Invoer!$BE$38:$BE$57,MATCH(4,Invoer!$BI$38:$BI$57,0))),"")</f>
        <v/>
      </c>
    </row>
    <row r="11" ht="9.949999999999999" customHeight="1" s="189">
      <c r="A11" s="640">
        <f>IFERROR(N(INDEX(Invoer!$B$38:$B$57,MATCH(5,Invoer!$BI$38:$BI$57,0))),0)</f>
        <v/>
      </c>
      <c r="B11" s="640">
        <f>IFERROR(N(INDEX(Invoer!$C$38:$C$57,MATCH(5,Invoer!$BI$38:$BI$57,0))),0)</f>
        <v/>
      </c>
      <c r="C11" s="640">
        <f>IFERROR(N(INDEX(Invoer!$D$38:$D$57,MATCH(5,Invoer!$BI$38:$BI$57,0))),0)</f>
        <v/>
      </c>
      <c r="D11" s="640">
        <f>IFERROR(N(INDEX(Invoer!$E$38:$E$57,MATCH(5,Invoer!$BI$38:$BI$57,0))),0)</f>
        <v/>
      </c>
      <c r="E11" s="640">
        <f>IFERROR(N(INDEX(Invoer!$F$38:$F$57,MATCH(5,Invoer!$BI$38:$BI$57,0))),0)</f>
        <v/>
      </c>
      <c r="F11" s="640">
        <f>IFERROR(N(INDEX(Invoer!$G$38:$G$57,MATCH(5,Invoer!$BI$38:$BI$57,0))),0)</f>
        <v/>
      </c>
      <c r="G11" s="640">
        <f>IFERROR(N(INDEX(Invoer!$H$38:$H$57,MATCH(5,Invoer!$BI$38:$BI$57,0))),0)</f>
        <v/>
      </c>
      <c r="H11" s="640">
        <f>IFERROR(N(INDEX(Invoer!$I$38:$I$57,MATCH(5,Invoer!$BI$38:$BI$57,0))),0)</f>
        <v/>
      </c>
      <c r="I11" s="640">
        <f>IFERROR(N(INDEX(Invoer!$J$38:$J$57,MATCH(5,Invoer!$BI$38:$BI$57,0))),0)</f>
        <v/>
      </c>
      <c r="J11" s="640">
        <f>IFERROR(N(INDEX(Invoer!$K$38:$K$57,MATCH(5,Invoer!$BI$38:$BI$57,0))),0)</f>
        <v/>
      </c>
      <c r="K11" s="414">
        <f>IFERROR(IF(INDEX(Invoer!$L$38:$L$57,MATCH(5,Invoer!$BI$38:$BI$57,0))="","",INDEX(Invoer!$L$38:$L$57,MATCH(5,Invoer!$BI$38:$BI$57,0))),"")</f>
        <v/>
      </c>
      <c r="L11" s="642">
        <f>IFERROR(N(INDEX(Invoer!$M$38:$M$57,MATCH(5,Invoer!$BI$38:$BI$57,0))),0)</f>
        <v/>
      </c>
      <c r="M11" s="419">
        <f>IFERROR(IF(INDEX(Invoer!$BS$38:$BS$57,MATCH(5,Invoer!$BI$38:$BI$57,0))="","",INDEX(Invoer!$BS$38:$BS$57,MATCH(5,Invoer!$BI$38:$BI$57,0))),"")</f>
        <v/>
      </c>
      <c r="N11" s="419">
        <f>IFERROR(IF(INDEX(Invoer!$BT$38:$BT$57,MATCH(5,Invoer!$BI$38:$BI$57,0))="","",INDEX(Invoer!$BT$38:$BT$57,MATCH(5,Invoer!$BI$38:$BI$57,0))),"")</f>
        <v/>
      </c>
      <c r="O11" s="450" t="n"/>
      <c r="P11" s="421">
        <f>IFERROR(IF(INDEX(Invoer!$Q$38:$Q$57,MATCH(5,Invoer!$BI$38:$BI$57,0))="","",INDEX(Invoer!$Q$38:$Q$57,MATCH(5,Invoer!$BI$38:$BI$57,0))),"")</f>
        <v/>
      </c>
      <c r="Q11" s="450" t="n"/>
      <c r="R11" s="419">
        <f>IFERROR(IF(INDEX(Invoer!$R$38:$R$57,MATCH(5,Invoer!$BI$38:$BI$57,0))="","",INDEX(Invoer!$R$38:$R$57,MATCH(5,Invoer!$BI$38:$BI$57,0))),"")</f>
        <v/>
      </c>
      <c r="S11" s="450" t="n"/>
      <c r="T11" s="419">
        <f>IFERROR(IF(INDEX(Invoer!$P$38:$P$57,MATCH(5,Invoer!$BI$38:$BI$57,0))="","",INDEX(Invoer!$P$38:$P$57,MATCH(5,Invoer!$BI$38:$BI$57,0))),"")</f>
        <v/>
      </c>
      <c r="U11" s="450" t="n"/>
      <c r="V11" s="645">
        <f>IFERROR(N(INDEX(Invoer!$S$38:$S$57,MATCH(5,Invoer!$BI$38:$BI$57,0))),0)</f>
        <v/>
      </c>
      <c r="W11" s="419">
        <f>IFERROR(IF(INDEX(Invoer!$T$38:$T$57,MATCH(5,Invoer!$BI$38:$BI$57,0))="","",INDEX(Invoer!$T$38:$T$57,MATCH(5,Invoer!$BI$38:$BI$57,0))),"")</f>
        <v/>
      </c>
      <c r="Y11" s="419">
        <f>IFERROR(IF(INDEX(Invoer!$U$38:$U$57,MATCH(5,Invoer!$BI$38:$BI$57,0))="","",INDEX(Invoer!$U$38:$U$57,MATCH(5,Invoer!$BI$38:$BI$57,0))),"")</f>
        <v/>
      </c>
      <c r="Z11" s="419">
        <f>IFERROR(IF(INDEX(Invoer!$V$38:$V$57,MATCH(5,Invoer!$BI$38:$BI$57,0))="","",INDEX(Invoer!$V$38:$V$57,MATCH(5,Invoer!$BI$38:$BI$57,0))),"")</f>
        <v/>
      </c>
      <c r="AA11" s="419">
        <f>IFERROR(IF(INDEX(Invoer!$W$38:$W$57,MATCH(5,Invoer!$BI$38:$BI$57,0))="","",INDEX(Invoer!$W$38:$W$57,MATCH(5,Invoer!$BI$38:$BI$57,0))),"")</f>
        <v/>
      </c>
      <c r="AC11" s="642">
        <f>IFERROR(N(INDEX(Invoer!$X$38:$X$57,MATCH(5,Invoer!$BI$38:$BI$57,0))),0)</f>
        <v/>
      </c>
      <c r="AD11" s="642">
        <f>IFERROR(N(INDEX(Invoer!$Y$38:$Y$57,MATCH(5,Invoer!$BI$38:$BI$57,0))),0)</f>
        <v/>
      </c>
      <c r="AE11" s="642">
        <f>IFERROR(N(INDEX(Invoer!$Z$38:$Z$57,MATCH(5,Invoer!$BI$38:$BI$57,0))),0)</f>
        <v/>
      </c>
      <c r="AF11" s="642">
        <f>IFERROR(N(INDEX(Invoer!$AA$38:$AA$57,MATCH(5,Invoer!$BI$38:$BI$57,0))),0)</f>
        <v/>
      </c>
      <c r="AG11" s="642">
        <f>IFERROR(N(INDEX(Invoer!$AB$38:$AB$57,MATCH(5,Invoer!$BI$38:$BI$57,0))),0)</f>
        <v/>
      </c>
      <c r="AH11" s="642">
        <f>IFERROR(N(INDEX(Invoer!$AC$38:$AC$57,MATCH(5,Invoer!$BI$38:$BI$57,0))),0)</f>
        <v/>
      </c>
      <c r="AJ11" s="642">
        <f>IFERROR(N(INDEX(Invoer!$BC$38:$BC$57,MATCH(5,Invoer!$BI$38:$BI$57,0))),0)</f>
        <v/>
      </c>
      <c r="AL11" s="642">
        <f>IFERROR(N(INDEX(Invoer!$BD$38:$BD$57,MATCH(5,Invoer!$BI$38:$BI$57,0))),0)</f>
        <v/>
      </c>
      <c r="AM11" s="450" t="n"/>
      <c r="AN11" s="642">
        <f>IFERROR(N(INDEX(Invoer!$AD$38:$AD$57,MATCH(5,Invoer!$BI$38:$BI$57,0))),0)</f>
        <v/>
      </c>
      <c r="AP11" s="452">
        <f>(($AC$5*(IF(ISNUMBER($AC11),$AC11,0))+$AD$5*(IF(ISNUMBER($AD11),$AD11,0))+$AE$5*(IF(ISNUMBER($AE11),$AE11,0))+$AF$5*(IF(ISNUMBER($AF11),$AF11,0))+$AG$5*(IF(ISNUMBER($AG11),$AG11,0))+$AH$5*(IF(ISNUMBER($AH11),$AH11,0)))+(IF(ISNUMBER($AN11),$AN11,0)))*(IF(W11="j",1,IF(W11="m",12,IF(W11="w",52,IF(W11="d",365,0)))))*V11</f>
        <v/>
      </c>
      <c r="AQ11" s="286" t="n"/>
      <c r="AR11" s="642">
        <f>IFERROR(N(INDEX(Invoer!$AL$38:$AL$57,MATCH(5,Invoer!$BI$38:$BI$57,0))),0)</f>
        <v/>
      </c>
      <c r="AS11" s="642">
        <f>IFERROR(N(INDEX(Invoer!$AM$38:$AM$57,MATCH(5,Invoer!$BI$38:$BI$57,0))),0)</f>
        <v/>
      </c>
      <c r="AT11" s="642">
        <f>IFERROR(N(INDEX(Invoer!$AN$38:$AN$57,MATCH(5,Invoer!$BI$38:$BI$57,0))),0)</f>
        <v/>
      </c>
      <c r="AV11" s="452">
        <f>$AR11+$AS11+$AT11</f>
        <v/>
      </c>
      <c r="AX11" s="420">
        <f>IFERROR(IF(INDEX(Invoer!$BE$38:$BE$57,MATCH(5,Invoer!$BI$38:$BI$57,0))="","",INDEX(Invoer!$BE$38:$BE$57,MATCH(5,Invoer!$BI$38:$BI$57,0))),"")</f>
        <v/>
      </c>
    </row>
    <row r="12" ht="9.949999999999999" customHeight="1" s="189">
      <c r="A12" s="640">
        <f>IFERROR(N(INDEX(Invoer!$B$38:$B$57,MATCH(6,Invoer!$BI$38:$BI$57,0))),0)</f>
        <v/>
      </c>
      <c r="B12" s="640">
        <f>IFERROR(N(INDEX(Invoer!$C$38:$C$57,MATCH(6,Invoer!$BI$38:$BI$57,0))),0)</f>
        <v/>
      </c>
      <c r="C12" s="640">
        <f>IFERROR(N(INDEX(Invoer!$D$38:$D$57,MATCH(6,Invoer!$BI$38:$BI$57,0))),0)</f>
        <v/>
      </c>
      <c r="D12" s="640">
        <f>IFERROR(N(INDEX(Invoer!$E$38:$E$57,MATCH(6,Invoer!$BI$38:$BI$57,0))),0)</f>
        <v/>
      </c>
      <c r="E12" s="640">
        <f>IFERROR(N(INDEX(Invoer!$F$38:$F$57,MATCH(6,Invoer!$BI$38:$BI$57,0))),0)</f>
        <v/>
      </c>
      <c r="F12" s="640">
        <f>IFERROR(N(INDEX(Invoer!$G$38:$G$57,MATCH(6,Invoer!$BI$38:$BI$57,0))),0)</f>
        <v/>
      </c>
      <c r="G12" s="640">
        <f>IFERROR(N(INDEX(Invoer!$H$38:$H$57,MATCH(6,Invoer!$BI$38:$BI$57,0))),0)</f>
        <v/>
      </c>
      <c r="H12" s="640">
        <f>IFERROR(N(INDEX(Invoer!$I$38:$I$57,MATCH(6,Invoer!$BI$38:$BI$57,0))),0)</f>
        <v/>
      </c>
      <c r="I12" s="640">
        <f>IFERROR(N(INDEX(Invoer!$J$38:$J$57,MATCH(6,Invoer!$BI$38:$BI$57,0))),0)</f>
        <v/>
      </c>
      <c r="J12" s="640">
        <f>IFERROR(N(INDEX(Invoer!$K$38:$K$57,MATCH(6,Invoer!$BI$38:$BI$57,0))),0)</f>
        <v/>
      </c>
      <c r="K12" s="414">
        <f>IFERROR(IF(INDEX(Invoer!$L$38:$L$57,MATCH(6,Invoer!$BI$38:$BI$57,0))="","",INDEX(Invoer!$L$38:$L$57,MATCH(6,Invoer!$BI$38:$BI$57,0))),"")</f>
        <v/>
      </c>
      <c r="L12" s="642">
        <f>IFERROR(N(INDEX(Invoer!$M$38:$M$57,MATCH(6,Invoer!$BI$38:$BI$57,0))),0)</f>
        <v/>
      </c>
      <c r="M12" s="419">
        <f>IFERROR(IF(INDEX(Invoer!$BS$38:$BS$57,MATCH(6,Invoer!$BI$38:$BI$57,0))="","",INDEX(Invoer!$BS$38:$BS$57,MATCH(6,Invoer!$BI$38:$BI$57,0))),"")</f>
        <v/>
      </c>
      <c r="N12" s="419">
        <f>IFERROR(IF(INDEX(Invoer!$BT$38:$BT$57,MATCH(6,Invoer!$BI$38:$BI$57,0))="","",INDEX(Invoer!$BT$38:$BT$57,MATCH(6,Invoer!$BI$38:$BI$57,0))),"")</f>
        <v/>
      </c>
      <c r="O12" s="450" t="n"/>
      <c r="P12" s="416">
        <f>IFERROR(IF(INDEX(Invoer!$Q$38:$Q$57,MATCH(6,Invoer!$BI$38:$BI$57,0))="","",INDEX(Invoer!$Q$38:$Q$57,MATCH(6,Invoer!$BI$38:$BI$57,0))),"")</f>
        <v/>
      </c>
      <c r="Q12" s="450" t="n"/>
      <c r="R12" s="419">
        <f>IFERROR(IF(INDEX(Invoer!$R$38:$R$57,MATCH(6,Invoer!$BI$38:$BI$57,0))="","",INDEX(Invoer!$R$38:$R$57,MATCH(6,Invoer!$BI$38:$BI$57,0))),"")</f>
        <v/>
      </c>
      <c r="S12" s="450" t="n"/>
      <c r="T12" s="419">
        <f>IFERROR(IF(INDEX(Invoer!$P$38:$P$57,MATCH(6,Invoer!$BI$38:$BI$57,0))="","",INDEX(Invoer!$P$38:$P$57,MATCH(6,Invoer!$BI$38:$BI$57,0))),"")</f>
        <v/>
      </c>
      <c r="U12" s="450" t="n"/>
      <c r="V12" s="645">
        <f>IFERROR(N(INDEX(Invoer!$S$38:$S$57,MATCH(6,Invoer!$BI$38:$BI$57,0))),0)</f>
        <v/>
      </c>
      <c r="W12" s="419">
        <f>IFERROR(IF(INDEX(Invoer!$T$38:$T$57,MATCH(6,Invoer!$BI$38:$BI$57,0))="","",INDEX(Invoer!$T$38:$T$57,MATCH(6,Invoer!$BI$38:$BI$57,0))),"")</f>
        <v/>
      </c>
      <c r="Y12" s="419">
        <f>IFERROR(IF(INDEX(Invoer!$U$38:$U$57,MATCH(6,Invoer!$BI$38:$BI$57,0))="","",INDEX(Invoer!$U$38:$U$57,MATCH(6,Invoer!$BI$38:$BI$57,0))),"")</f>
        <v/>
      </c>
      <c r="Z12" s="419">
        <f>IFERROR(IF(INDEX(Invoer!$V$38:$V$57,MATCH(6,Invoer!$BI$38:$BI$57,0))="","",INDEX(Invoer!$V$38:$V$57,MATCH(6,Invoer!$BI$38:$BI$57,0))),"")</f>
        <v/>
      </c>
      <c r="AA12" s="419">
        <f>IFERROR(IF(INDEX(Invoer!$W$38:$W$57,MATCH(6,Invoer!$BI$38:$BI$57,0))="","",INDEX(Invoer!$W$38:$W$57,MATCH(6,Invoer!$BI$38:$BI$57,0))),"")</f>
        <v/>
      </c>
      <c r="AC12" s="642">
        <f>IFERROR(N(INDEX(Invoer!$X$38:$X$57,MATCH(6,Invoer!$BI$38:$BI$57,0))),0)</f>
        <v/>
      </c>
      <c r="AD12" s="642">
        <f>IFERROR(N(INDEX(Invoer!$Y$38:$Y$57,MATCH(6,Invoer!$BI$38:$BI$57,0))),0)</f>
        <v/>
      </c>
      <c r="AE12" s="642">
        <f>IFERROR(N(INDEX(Invoer!$Z$38:$Z$57,MATCH(6,Invoer!$BI$38:$BI$57,0))),0)</f>
        <v/>
      </c>
      <c r="AF12" s="642">
        <f>IFERROR(N(INDEX(Invoer!$AA$38:$AA$57,MATCH(6,Invoer!$BI$38:$BI$57,0))),0)</f>
        <v/>
      </c>
      <c r="AG12" s="642">
        <f>IFERROR(N(INDEX(Invoer!$AB$38:$AB$57,MATCH(6,Invoer!$BI$38:$BI$57,0))),0)</f>
        <v/>
      </c>
      <c r="AH12" s="642">
        <f>IFERROR(N(INDEX(Invoer!$AC$38:$AC$57,MATCH(6,Invoer!$BI$38:$BI$57,0))),0)</f>
        <v/>
      </c>
      <c r="AJ12" s="642">
        <f>IFERROR(N(INDEX(Invoer!$BC$38:$BC$57,MATCH(6,Invoer!$BI$38:$BI$57,0))),0)</f>
        <v/>
      </c>
      <c r="AL12" s="642">
        <f>IFERROR(N(INDEX(Invoer!$BD$38:$BD$57,MATCH(6,Invoer!$BI$38:$BI$57,0))),0)</f>
        <v/>
      </c>
      <c r="AM12" s="450" t="n"/>
      <c r="AN12" s="642">
        <f>IFERROR(N(INDEX(Invoer!$AD$38:$AD$57,MATCH(6,Invoer!$BI$38:$BI$57,0))),0)</f>
        <v/>
      </c>
      <c r="AP12" s="452">
        <f>(($AC$5*(IF(ISNUMBER($AC12),$AC12,0))+$AD$5*(IF(ISNUMBER($AD12),$AD12,0))+$AE$5*(IF(ISNUMBER($AE12),$AE12,0))+$AF$5*(IF(ISNUMBER($AF12),$AF12,0))+$AG$5*(IF(ISNUMBER($AG12),$AG12,0))+$AH$5*(IF(ISNUMBER($AH12),$AH12,0)))+(IF(ISNUMBER($AN12),$AN12,0)))*(IF(W12="j",1,IF(W12="m",12,IF(W12="w",52,IF(W12="d",365,0)))))*V12</f>
        <v/>
      </c>
      <c r="AQ12" s="286" t="n"/>
      <c r="AR12" s="642">
        <f>IFERROR(N(INDEX(Invoer!$AL$38:$AL$57,MATCH(6,Invoer!$BI$38:$BI$57,0))),0)</f>
        <v/>
      </c>
      <c r="AS12" s="642">
        <f>IFERROR(N(INDEX(Invoer!$AM$38:$AM$57,MATCH(6,Invoer!$BI$38:$BI$57,0))),0)</f>
        <v/>
      </c>
      <c r="AT12" s="642">
        <f>IFERROR(N(INDEX(Invoer!$AN$38:$AN$57,MATCH(6,Invoer!$BI$38:$BI$57,0))),0)</f>
        <v/>
      </c>
      <c r="AV12" s="452">
        <f>$AR12+$AS12+$AT12</f>
        <v/>
      </c>
      <c r="AX12" s="420">
        <f>IFERROR(IF(INDEX(Invoer!$BE$38:$BE$57,MATCH(6,Invoer!$BI$38:$BI$57,0))="","",INDEX(Invoer!$BE$38:$BE$57,MATCH(6,Invoer!$BI$38:$BI$57,0))),"")</f>
        <v/>
      </c>
    </row>
    <row r="13" ht="9.949999999999999" customHeight="1" s="189">
      <c r="A13" s="640">
        <f>IFERROR(N(INDEX(Invoer!$B$38:$B$57,MATCH(7,Invoer!$BI$38:$BI$57,0))),0)</f>
        <v/>
      </c>
      <c r="B13" s="641">
        <f>IFERROR(N(INDEX(Invoer!$C$38:$C$57,MATCH(7,Invoer!$BI$38:$BI$57,0))),0)</f>
        <v/>
      </c>
      <c r="C13" s="641">
        <f>IFERROR(N(INDEX(Invoer!$D$38:$D$57,MATCH(7,Invoer!$BI$38:$BI$57,0))),0)</f>
        <v/>
      </c>
      <c r="D13" s="641">
        <f>IFERROR(N(INDEX(Invoer!$E$38:$E$57,MATCH(7,Invoer!$BI$38:$BI$57,0))),0)</f>
        <v/>
      </c>
      <c r="E13" s="641">
        <f>IFERROR(N(INDEX(Invoer!$F$38:$F$57,MATCH(7,Invoer!$BI$38:$BI$57,0))),0)</f>
        <v/>
      </c>
      <c r="F13" s="641">
        <f>IFERROR(N(INDEX(Invoer!$G$38:$G$57,MATCH(7,Invoer!$BI$38:$BI$57,0))),0)</f>
        <v/>
      </c>
      <c r="G13" s="641">
        <f>IFERROR(N(INDEX(Invoer!$H$38:$H$57,MATCH(7,Invoer!$BI$38:$BI$57,0))),0)</f>
        <v/>
      </c>
      <c r="H13" s="641">
        <f>IFERROR(N(INDEX(Invoer!$I$38:$I$57,MATCH(7,Invoer!$BI$38:$BI$57,0))),0)</f>
        <v/>
      </c>
      <c r="I13" s="641">
        <f>IFERROR(N(INDEX(Invoer!$J$38:$J$57,MATCH(7,Invoer!$BI$38:$BI$57,0))),0)</f>
        <v/>
      </c>
      <c r="J13" s="641">
        <f>IFERROR(N(INDEX(Invoer!$K$38:$K$57,MATCH(7,Invoer!$BI$38:$BI$57,0))),0)</f>
        <v/>
      </c>
      <c r="K13" s="414">
        <f>IFERROR(IF(INDEX(Invoer!$L$38:$L$57,MATCH(7,Invoer!$BI$38:$BI$57,0))="","",INDEX(Invoer!$L$38:$L$57,MATCH(7,Invoer!$BI$38:$BI$57,0))),"")</f>
        <v/>
      </c>
      <c r="L13" s="642">
        <f>IFERROR(N(INDEX(Invoer!$M$38:$M$57,MATCH(7,Invoer!$BI$38:$BI$57,0))),0)</f>
        <v/>
      </c>
      <c r="M13" s="419">
        <f>IFERROR(IF(INDEX(Invoer!$BS$38:$BS$57,MATCH(7,Invoer!$BI$38:$BI$57,0))="","",INDEX(Invoer!$BS$38:$BS$57,MATCH(7,Invoer!$BI$38:$BI$57,0))),"")</f>
        <v/>
      </c>
      <c r="N13" s="419">
        <f>IFERROR(IF(INDEX(Invoer!$BT$38:$BT$57,MATCH(7,Invoer!$BI$38:$BI$57,0))="","",INDEX(Invoer!$BT$38:$BT$57,MATCH(7,Invoer!$BI$38:$BI$57,0))),"")</f>
        <v/>
      </c>
      <c r="O13" s="450" t="n"/>
      <c r="P13" s="421">
        <f>IFERROR(IF(INDEX(Invoer!$Q$38:$Q$57,MATCH(7,Invoer!$BI$38:$BI$57,0))="","",INDEX(Invoer!$Q$38:$Q$57,MATCH(7,Invoer!$BI$38:$BI$57,0))),"")</f>
        <v/>
      </c>
      <c r="Q13" s="450" t="n"/>
      <c r="R13" s="419">
        <f>IFERROR(IF(INDEX(Invoer!$R$38:$R$57,MATCH(7,Invoer!$BI$38:$BI$57,0))="","",INDEX(Invoer!$R$38:$R$57,MATCH(7,Invoer!$BI$38:$BI$57,0))),"")</f>
        <v/>
      </c>
      <c r="S13" s="450" t="n"/>
      <c r="T13" s="419">
        <f>IFERROR(IF(INDEX(Invoer!$P$38:$P$57,MATCH(7,Invoer!$BI$38:$BI$57,0))="","",INDEX(Invoer!$P$38:$P$57,MATCH(7,Invoer!$BI$38:$BI$57,0))),"")</f>
        <v/>
      </c>
      <c r="U13" s="450" t="n"/>
      <c r="V13" s="645">
        <f>IFERROR(N(INDEX(Invoer!$S$38:$S$57,MATCH(7,Invoer!$BI$38:$BI$57,0))),0)</f>
        <v/>
      </c>
      <c r="W13" s="419">
        <f>IFERROR(IF(INDEX(Invoer!$T$38:$T$57,MATCH(7,Invoer!$BI$38:$BI$57,0))="","",INDEX(Invoer!$T$38:$T$57,MATCH(7,Invoer!$BI$38:$BI$57,0))),"")</f>
        <v/>
      </c>
      <c r="Y13" s="419">
        <f>IFERROR(IF(INDEX(Invoer!$U$38:$U$57,MATCH(7,Invoer!$BI$38:$BI$57,0))="","",INDEX(Invoer!$U$38:$U$57,MATCH(7,Invoer!$BI$38:$BI$57,0))),"")</f>
        <v/>
      </c>
      <c r="Z13" s="419">
        <f>IFERROR(IF(INDEX(Invoer!$V$38:$V$57,MATCH(7,Invoer!$BI$38:$BI$57,0))="","",INDEX(Invoer!$V$38:$V$57,MATCH(7,Invoer!$BI$38:$BI$57,0))),"")</f>
        <v/>
      </c>
      <c r="AA13" s="419">
        <f>IFERROR(IF(INDEX(Invoer!$W$38:$W$57,MATCH(7,Invoer!$BI$38:$BI$57,0))="","",INDEX(Invoer!$W$38:$W$57,MATCH(7,Invoer!$BI$38:$BI$57,0))),"")</f>
        <v/>
      </c>
      <c r="AC13" s="642">
        <f>IFERROR(N(INDEX(Invoer!$X$38:$X$57,MATCH(7,Invoer!$BI$38:$BI$57,0))),0)</f>
        <v/>
      </c>
      <c r="AD13" s="642">
        <f>IFERROR(N(INDEX(Invoer!$Y$38:$Y$57,MATCH(7,Invoer!$BI$38:$BI$57,0))),0)</f>
        <v/>
      </c>
      <c r="AE13" s="642">
        <f>IFERROR(N(INDEX(Invoer!$Z$38:$Z$57,MATCH(7,Invoer!$BI$38:$BI$57,0))),0)</f>
        <v/>
      </c>
      <c r="AF13" s="642">
        <f>IFERROR(N(INDEX(Invoer!$AA$38:$AA$57,MATCH(7,Invoer!$BI$38:$BI$57,0))),0)</f>
        <v/>
      </c>
      <c r="AG13" s="642">
        <f>IFERROR(N(INDEX(Invoer!$AB$38:$AB$57,MATCH(7,Invoer!$BI$38:$BI$57,0))),0)</f>
        <v/>
      </c>
      <c r="AH13" s="642">
        <f>IFERROR(N(INDEX(Invoer!$AC$38:$AC$57,MATCH(7,Invoer!$BI$38:$BI$57,0))),0)</f>
        <v/>
      </c>
      <c r="AJ13" s="642">
        <f>IFERROR(N(INDEX(Invoer!$BC$38:$BC$57,MATCH(7,Invoer!$BI$38:$BI$57,0))),0)</f>
        <v/>
      </c>
      <c r="AL13" s="642">
        <f>IFERROR(N(INDEX(Invoer!$BD$38:$BD$57,MATCH(7,Invoer!$BI$38:$BI$57,0))),0)</f>
        <v/>
      </c>
      <c r="AM13" s="450" t="n"/>
      <c r="AN13" s="642">
        <f>IFERROR(N(INDEX(Invoer!$AD$38:$AD$57,MATCH(7,Invoer!$BI$38:$BI$57,0))),0)</f>
        <v/>
      </c>
      <c r="AP13" s="452">
        <f>(($AC$5*(IF(ISNUMBER($AC13),$AC13,0))+$AD$5*(IF(ISNUMBER($AD13),$AD13,0))+$AE$5*(IF(ISNUMBER($AE13),$AE13,0))+$AF$5*(IF(ISNUMBER($AF13),$AF13,0))+$AG$5*(IF(ISNUMBER($AG13),$AG13,0))+$AH$5*(IF(ISNUMBER($AH13),$AH13,0)))+(IF(ISNUMBER($AN13),$AN13,0)))*(IF(W13="j",1,IF(W13="m",12,IF(W13="w",52,IF(W13="d",365,0)))))*V13</f>
        <v/>
      </c>
      <c r="AQ13" s="286" t="n"/>
      <c r="AR13" s="642">
        <f>IFERROR(N(INDEX(Invoer!$AL$38:$AL$57,MATCH(7,Invoer!$BI$38:$BI$57,0))),0)</f>
        <v/>
      </c>
      <c r="AS13" s="642">
        <f>IFERROR(N(INDEX(Invoer!$AM$38:$AM$57,MATCH(7,Invoer!$BI$38:$BI$57,0))),0)</f>
        <v/>
      </c>
      <c r="AT13" s="642">
        <f>IFERROR(N(INDEX(Invoer!$AN$38:$AN$57,MATCH(7,Invoer!$BI$38:$BI$57,0))),0)</f>
        <v/>
      </c>
      <c r="AV13" s="452">
        <f>$AR13+$AS13+$AT13</f>
        <v/>
      </c>
      <c r="AX13" s="420">
        <f>IFERROR(IF(INDEX(Invoer!$BE$38:$BE$57,MATCH(7,Invoer!$BI$38:$BI$57,0))="","",INDEX(Invoer!$BE$38:$BE$57,MATCH(7,Invoer!$BI$38:$BI$57,0))),"")</f>
        <v/>
      </c>
    </row>
    <row r="14" ht="9.949999999999999" customHeight="1" s="189">
      <c r="A14" s="640">
        <f>IFERROR(N(INDEX(Invoer!$B$38:$B$57,MATCH(8,Invoer!$BI$38:$BI$57,0))),0)</f>
        <v/>
      </c>
      <c r="B14" s="641">
        <f>IFERROR(N(INDEX(Invoer!$C$38:$C$57,MATCH(8,Invoer!$BI$38:$BI$57,0))),0)</f>
        <v/>
      </c>
      <c r="C14" s="641">
        <f>IFERROR(N(INDEX(Invoer!$D$38:$D$57,MATCH(8,Invoer!$BI$38:$BI$57,0))),0)</f>
        <v/>
      </c>
      <c r="D14" s="641">
        <f>IFERROR(N(INDEX(Invoer!$E$38:$E$57,MATCH(8,Invoer!$BI$38:$BI$57,0))),0)</f>
        <v/>
      </c>
      <c r="E14" s="641">
        <f>IFERROR(N(INDEX(Invoer!$F$38:$F$57,MATCH(8,Invoer!$BI$38:$BI$57,0))),0)</f>
        <v/>
      </c>
      <c r="F14" s="641">
        <f>IFERROR(N(INDEX(Invoer!$G$38:$G$57,MATCH(8,Invoer!$BI$38:$BI$57,0))),0)</f>
        <v/>
      </c>
      <c r="G14" s="641">
        <f>IFERROR(N(INDEX(Invoer!$H$38:$H$57,MATCH(8,Invoer!$BI$38:$BI$57,0))),0)</f>
        <v/>
      </c>
      <c r="H14" s="641">
        <f>IFERROR(N(INDEX(Invoer!$I$38:$I$57,MATCH(8,Invoer!$BI$38:$BI$57,0))),0)</f>
        <v/>
      </c>
      <c r="I14" s="641">
        <f>IFERROR(N(INDEX(Invoer!$J$38:$J$57,MATCH(8,Invoer!$BI$38:$BI$57,0))),0)</f>
        <v/>
      </c>
      <c r="J14" s="641">
        <f>IFERROR(N(INDEX(Invoer!$K$38:$K$57,MATCH(8,Invoer!$BI$38:$BI$57,0))),0)</f>
        <v/>
      </c>
      <c r="K14" s="414">
        <f>IFERROR(IF(INDEX(Invoer!$L$38:$L$57,MATCH(8,Invoer!$BI$38:$BI$57,0))="","",INDEX(Invoer!$L$38:$L$57,MATCH(8,Invoer!$BI$38:$BI$57,0))),"")</f>
        <v/>
      </c>
      <c r="L14" s="642">
        <f>IFERROR(N(INDEX(Invoer!$M$38:$M$57,MATCH(8,Invoer!$BI$38:$BI$57,0))),0)</f>
        <v/>
      </c>
      <c r="M14" s="419">
        <f>IFERROR(IF(INDEX(Invoer!$BS$38:$BS$57,MATCH(8,Invoer!$BI$38:$BI$57,0))="","",INDEX(Invoer!$BS$38:$BS$57,MATCH(8,Invoer!$BI$38:$BI$57,0))),"")</f>
        <v/>
      </c>
      <c r="N14" s="419">
        <f>IFERROR(IF(INDEX(Invoer!$BT$38:$BT$57,MATCH(8,Invoer!$BI$38:$BI$57,0))="","",INDEX(Invoer!$BT$38:$BT$57,MATCH(8,Invoer!$BI$38:$BI$57,0))),"")</f>
        <v/>
      </c>
      <c r="O14" s="450" t="n"/>
      <c r="P14" s="421">
        <f>IFERROR(IF(INDEX(Invoer!$Q$38:$Q$57,MATCH(8,Invoer!$BI$38:$BI$57,0))="","",INDEX(Invoer!$Q$38:$Q$57,MATCH(8,Invoer!$BI$38:$BI$57,0))),"")</f>
        <v/>
      </c>
      <c r="Q14" s="450" t="n"/>
      <c r="R14" s="419">
        <f>IFERROR(IF(INDEX(Invoer!$R$38:$R$57,MATCH(8,Invoer!$BI$38:$BI$57,0))="","",INDEX(Invoer!$R$38:$R$57,MATCH(8,Invoer!$BI$38:$BI$57,0))),"")</f>
        <v/>
      </c>
      <c r="S14" s="450" t="n"/>
      <c r="T14" s="419">
        <f>IFERROR(IF(INDEX(Invoer!$P$38:$P$57,MATCH(8,Invoer!$BI$38:$BI$57,0))="","",INDEX(Invoer!$P$38:$P$57,MATCH(8,Invoer!$BI$38:$BI$57,0))),"")</f>
        <v/>
      </c>
      <c r="U14" s="450" t="n"/>
      <c r="V14" s="645">
        <f>IFERROR(N(INDEX(Invoer!$S$38:$S$57,MATCH(8,Invoer!$BI$38:$BI$57,0))),0)</f>
        <v/>
      </c>
      <c r="W14" s="419">
        <f>IFERROR(IF(INDEX(Invoer!$T$38:$T$57,MATCH(8,Invoer!$BI$38:$BI$57,0))="","",INDEX(Invoer!$T$38:$T$57,MATCH(8,Invoer!$BI$38:$BI$57,0))),"")</f>
        <v/>
      </c>
      <c r="Y14" s="419">
        <f>IFERROR(IF(INDEX(Invoer!$U$38:$U$57,MATCH(8,Invoer!$BI$38:$BI$57,0))="","",INDEX(Invoer!$U$38:$U$57,MATCH(8,Invoer!$BI$38:$BI$57,0))),"")</f>
        <v/>
      </c>
      <c r="Z14" s="419">
        <f>IFERROR(IF(INDEX(Invoer!$V$38:$V$57,MATCH(8,Invoer!$BI$38:$BI$57,0))="","",INDEX(Invoer!$V$38:$V$57,MATCH(8,Invoer!$BI$38:$BI$57,0))),"")</f>
        <v/>
      </c>
      <c r="AA14" s="419">
        <f>IFERROR(IF(INDEX(Invoer!$W$38:$W$57,MATCH(8,Invoer!$BI$38:$BI$57,0))="","",INDEX(Invoer!$W$38:$W$57,MATCH(8,Invoer!$BI$38:$BI$57,0))),"")</f>
        <v/>
      </c>
      <c r="AC14" s="642">
        <f>IFERROR(N(INDEX(Invoer!$X$38:$X$57,MATCH(8,Invoer!$BI$38:$BI$57,0))),0)</f>
        <v/>
      </c>
      <c r="AD14" s="642">
        <f>IFERROR(N(INDEX(Invoer!$Y$38:$Y$57,MATCH(8,Invoer!$BI$38:$BI$57,0))),0)</f>
        <v/>
      </c>
      <c r="AE14" s="642">
        <f>IFERROR(N(INDEX(Invoer!$Z$38:$Z$57,MATCH(8,Invoer!$BI$38:$BI$57,0))),0)</f>
        <v/>
      </c>
      <c r="AF14" s="642">
        <f>IFERROR(N(INDEX(Invoer!$AA$38:$AA$57,MATCH(8,Invoer!$BI$38:$BI$57,0))),0)</f>
        <v/>
      </c>
      <c r="AG14" s="642">
        <f>IFERROR(N(INDEX(Invoer!$AB$38:$AB$57,MATCH(8,Invoer!$BI$38:$BI$57,0))),0)</f>
        <v/>
      </c>
      <c r="AH14" s="642">
        <f>IFERROR(N(INDEX(Invoer!$AC$38:$AC$57,MATCH(8,Invoer!$BI$38:$BI$57,0))),0)</f>
        <v/>
      </c>
      <c r="AJ14" s="642">
        <f>IFERROR(N(INDEX(Invoer!$BC$38:$BC$57,MATCH(8,Invoer!$BI$38:$BI$57,0))),0)</f>
        <v/>
      </c>
      <c r="AL14" s="642">
        <f>IFERROR(N(INDEX(Invoer!$BD$38:$BD$57,MATCH(8,Invoer!$BI$38:$BI$57,0))),0)</f>
        <v/>
      </c>
      <c r="AM14" s="450" t="n"/>
      <c r="AN14" s="642">
        <f>IFERROR(N(INDEX(Invoer!$AD$38:$AD$57,MATCH(8,Invoer!$BI$38:$BI$57,0))),0)</f>
        <v/>
      </c>
      <c r="AP14" s="452">
        <f>(($AC$5*(IF(ISNUMBER($AC14),$AC14,0))+$AD$5*(IF(ISNUMBER($AD14),$AD14,0))+$AE$5*(IF(ISNUMBER($AE14),$AE14,0))+$AF$5*(IF(ISNUMBER($AF14),$AF14,0))+$AG$5*(IF(ISNUMBER($AG14),$AG14,0))+$AH$5*(IF(ISNUMBER($AH14),$AH14,0)))+(IF(ISNUMBER($AN14),$AN14,0)))*(IF(W14="j",1,IF(W14="m",12,IF(W14="w",52,IF(W14="d",365,0)))))*V14</f>
        <v/>
      </c>
      <c r="AQ14" s="286" t="n"/>
      <c r="AR14" s="642">
        <f>IFERROR(N(INDEX(Invoer!$AL$38:$AL$57,MATCH(8,Invoer!$BI$38:$BI$57,0))),0)</f>
        <v/>
      </c>
      <c r="AS14" s="642">
        <f>IFERROR(N(INDEX(Invoer!$AM$38:$AM$57,MATCH(8,Invoer!$BI$38:$BI$57,0))),0)</f>
        <v/>
      </c>
      <c r="AT14" s="642">
        <f>IFERROR(N(INDEX(Invoer!$AN$38:$AN$57,MATCH(8,Invoer!$BI$38:$BI$57,0))),0)</f>
        <v/>
      </c>
      <c r="AV14" s="452">
        <f>$AR14+$AS14+$AT14</f>
        <v/>
      </c>
      <c r="AX14" s="420">
        <f>IFERROR(IF(INDEX(Invoer!$BE$38:$BE$57,MATCH(8,Invoer!$BI$38:$BI$57,0))="","",INDEX(Invoer!$BE$38:$BE$57,MATCH(8,Invoer!$BI$38:$BI$57,0))),"")</f>
        <v/>
      </c>
    </row>
    <row r="15" ht="9.949999999999999" customHeight="1" s="189">
      <c r="A15" s="640">
        <f>IFERROR(N(INDEX(Invoer!$B$38:$B$57,MATCH(9,Invoer!$BI$38:$BI$57,0))),0)</f>
        <v/>
      </c>
      <c r="B15" s="641">
        <f>IFERROR(N(INDEX(Invoer!$C$38:$C$57,MATCH(9,Invoer!$BI$38:$BI$57,0))),0)</f>
        <v/>
      </c>
      <c r="C15" s="641">
        <f>IFERROR(N(INDEX(Invoer!$D$38:$D$57,MATCH(9,Invoer!$BI$38:$BI$57,0))),0)</f>
        <v/>
      </c>
      <c r="D15" s="641">
        <f>IFERROR(N(INDEX(Invoer!$E$38:$E$57,MATCH(9,Invoer!$BI$38:$BI$57,0))),0)</f>
        <v/>
      </c>
      <c r="E15" s="641">
        <f>IFERROR(N(INDEX(Invoer!$F$38:$F$57,MATCH(9,Invoer!$BI$38:$BI$57,0))),0)</f>
        <v/>
      </c>
      <c r="F15" s="641">
        <f>IFERROR(N(INDEX(Invoer!$G$38:$G$57,MATCH(9,Invoer!$BI$38:$BI$57,0))),0)</f>
        <v/>
      </c>
      <c r="G15" s="641">
        <f>IFERROR(N(INDEX(Invoer!$H$38:$H$57,MATCH(9,Invoer!$BI$38:$BI$57,0))),0)</f>
        <v/>
      </c>
      <c r="H15" s="641">
        <f>IFERROR(N(INDEX(Invoer!$I$38:$I$57,MATCH(9,Invoer!$BI$38:$BI$57,0))),0)</f>
        <v/>
      </c>
      <c r="I15" s="641">
        <f>IFERROR(N(INDEX(Invoer!$J$38:$J$57,MATCH(9,Invoer!$BI$38:$BI$57,0))),0)</f>
        <v/>
      </c>
      <c r="J15" s="641">
        <f>IFERROR(N(INDEX(Invoer!$K$38:$K$57,MATCH(9,Invoer!$BI$38:$BI$57,0))),0)</f>
        <v/>
      </c>
      <c r="K15" s="414">
        <f>IFERROR(IF(INDEX(Invoer!$L$38:$L$57,MATCH(9,Invoer!$BI$38:$BI$57,0))="","",INDEX(Invoer!$L$38:$L$57,MATCH(9,Invoer!$BI$38:$BI$57,0))),"")</f>
        <v/>
      </c>
      <c r="L15" s="642">
        <f>IFERROR(N(INDEX(Invoer!$M$38:$M$57,MATCH(9,Invoer!$BI$38:$BI$57,0))),0)</f>
        <v/>
      </c>
      <c r="M15" s="419">
        <f>IFERROR(IF(INDEX(Invoer!$BS$38:$BS$57,MATCH(9,Invoer!$BI$38:$BI$57,0))="","",INDEX(Invoer!$BS$38:$BS$57,MATCH(9,Invoer!$BI$38:$BI$57,0))),"")</f>
        <v/>
      </c>
      <c r="N15" s="419">
        <f>IFERROR(IF(INDEX(Invoer!$BT$38:$BT$57,MATCH(9,Invoer!$BI$38:$BI$57,0))="","",INDEX(Invoer!$BT$38:$BT$57,MATCH(9,Invoer!$BI$38:$BI$57,0))),"")</f>
        <v/>
      </c>
      <c r="O15" s="450" t="n"/>
      <c r="P15" s="421">
        <f>IFERROR(IF(INDEX(Invoer!$Q$38:$Q$57,MATCH(9,Invoer!$BI$38:$BI$57,0))="","",INDEX(Invoer!$Q$38:$Q$57,MATCH(9,Invoer!$BI$38:$BI$57,0))),"")</f>
        <v/>
      </c>
      <c r="Q15" s="450" t="n"/>
      <c r="R15" s="419">
        <f>IFERROR(IF(INDEX(Invoer!$R$38:$R$57,MATCH(9,Invoer!$BI$38:$BI$57,0))="","",INDEX(Invoer!$R$38:$R$57,MATCH(9,Invoer!$BI$38:$BI$57,0))),"")</f>
        <v/>
      </c>
      <c r="S15" s="450" t="n"/>
      <c r="T15" s="419">
        <f>IFERROR(IF(INDEX(Invoer!$P$38:$P$57,MATCH(9,Invoer!$BI$38:$BI$57,0))="","",INDEX(Invoer!$P$38:$P$57,MATCH(9,Invoer!$BI$38:$BI$57,0))),"")</f>
        <v/>
      </c>
      <c r="U15" s="450" t="n"/>
      <c r="V15" s="645">
        <f>IFERROR(N(INDEX(Invoer!$S$38:$S$57,MATCH(9,Invoer!$BI$38:$BI$57,0))),0)</f>
        <v/>
      </c>
      <c r="W15" s="419">
        <f>IFERROR(IF(INDEX(Invoer!$T$38:$T$57,MATCH(9,Invoer!$BI$38:$BI$57,0))="","",INDEX(Invoer!$T$38:$T$57,MATCH(9,Invoer!$BI$38:$BI$57,0))),"")</f>
        <v/>
      </c>
      <c r="Y15" s="419">
        <f>IFERROR(IF(INDEX(Invoer!$U$38:$U$57,MATCH(9,Invoer!$BI$38:$BI$57,0))="","",INDEX(Invoer!$U$38:$U$57,MATCH(9,Invoer!$BI$38:$BI$57,0))),"")</f>
        <v/>
      </c>
      <c r="Z15" s="419">
        <f>IFERROR(IF(INDEX(Invoer!$V$38:$V$57,MATCH(9,Invoer!$BI$38:$BI$57,0))="","",INDEX(Invoer!$V$38:$V$57,MATCH(9,Invoer!$BI$38:$BI$57,0))),"")</f>
        <v/>
      </c>
      <c r="AA15" s="419">
        <f>IFERROR(IF(INDEX(Invoer!$W$38:$W$57,MATCH(9,Invoer!$BI$38:$BI$57,0))="","",INDEX(Invoer!$W$38:$W$57,MATCH(9,Invoer!$BI$38:$BI$57,0))),"")</f>
        <v/>
      </c>
      <c r="AC15" s="642">
        <f>IFERROR(N(INDEX(Invoer!$X$38:$X$57,MATCH(9,Invoer!$BI$38:$BI$57,0))),0)</f>
        <v/>
      </c>
      <c r="AD15" s="642">
        <f>IFERROR(N(INDEX(Invoer!$Y$38:$Y$57,MATCH(9,Invoer!$BI$38:$BI$57,0))),0)</f>
        <v/>
      </c>
      <c r="AE15" s="642">
        <f>IFERROR(N(INDEX(Invoer!$Z$38:$Z$57,MATCH(9,Invoer!$BI$38:$BI$57,0))),0)</f>
        <v/>
      </c>
      <c r="AF15" s="642">
        <f>IFERROR(N(INDEX(Invoer!$AA$38:$AA$57,MATCH(9,Invoer!$BI$38:$BI$57,0))),0)</f>
        <v/>
      </c>
      <c r="AG15" s="642">
        <f>IFERROR(N(INDEX(Invoer!$AB$38:$AB$57,MATCH(9,Invoer!$BI$38:$BI$57,0))),0)</f>
        <v/>
      </c>
      <c r="AH15" s="642">
        <f>IFERROR(N(INDEX(Invoer!$AC$38:$AC$57,MATCH(9,Invoer!$BI$38:$BI$57,0))),0)</f>
        <v/>
      </c>
      <c r="AJ15" s="642">
        <f>IFERROR(N(INDEX(Invoer!$BC$38:$BC$57,MATCH(9,Invoer!$BI$38:$BI$57,0))),0)</f>
        <v/>
      </c>
      <c r="AL15" s="642">
        <f>IFERROR(N(INDEX(Invoer!$BD$38:$BD$57,MATCH(9,Invoer!$BI$38:$BI$57,0))),0)</f>
        <v/>
      </c>
      <c r="AM15" s="450" t="n"/>
      <c r="AN15" s="642">
        <f>IFERROR(N(INDEX(Invoer!$AD$38:$AD$57,MATCH(9,Invoer!$BI$38:$BI$57,0))),0)</f>
        <v/>
      </c>
      <c r="AP15" s="452">
        <f>(($AC$5*(IF(ISNUMBER($AC15),$AC15,0))+$AD$5*(IF(ISNUMBER($AD15),$AD15,0))+$AE$5*(IF(ISNUMBER($AE15),$AE15,0))+$AF$5*(IF(ISNUMBER($AF15),$AF15,0))+$AG$5*(IF(ISNUMBER($AG15),$AG15,0))+$AH$5*(IF(ISNUMBER($AH15),$AH15,0)))+(IF(ISNUMBER($AN15),$AN15,0)))*(IF(W15="j",1,IF(W15="m",12,IF(W15="w",52,IF(W15="d",365,0)))))*V15</f>
        <v/>
      </c>
      <c r="AQ15" s="286" t="n"/>
      <c r="AR15" s="642">
        <f>IFERROR(N(INDEX(Invoer!$AL$38:$AL$57,MATCH(9,Invoer!$BI$38:$BI$57,0))),0)</f>
        <v/>
      </c>
      <c r="AS15" s="642">
        <f>IFERROR(N(INDEX(Invoer!$AM$38:$AM$57,MATCH(9,Invoer!$BI$38:$BI$57,0))),0)</f>
        <v/>
      </c>
      <c r="AT15" s="642">
        <f>IFERROR(N(INDEX(Invoer!$AN$38:$AN$57,MATCH(9,Invoer!$BI$38:$BI$57,0))),0)</f>
        <v/>
      </c>
      <c r="AV15" s="452">
        <f>$AR15+$AS15+$AT15</f>
        <v/>
      </c>
      <c r="AX15" s="420">
        <f>IFERROR(IF(INDEX(Invoer!$BE$38:$BE$57,MATCH(9,Invoer!$BI$38:$BI$57,0))="","",INDEX(Invoer!$BE$38:$BE$57,MATCH(9,Invoer!$BI$38:$BI$57,0))),"")</f>
        <v/>
      </c>
    </row>
    <row r="16" ht="9.949999999999999" customHeight="1" s="189">
      <c r="A16" s="640">
        <f>IFERROR(N(INDEX(Invoer!$B$38:$B$57,MATCH(10,Invoer!$BI$38:$BI$57,0))),0)</f>
        <v/>
      </c>
      <c r="B16" s="641">
        <f>IFERROR(N(INDEX(Invoer!$C$38:$C$57,MATCH(10,Invoer!$BI$38:$BI$57,0))),0)</f>
        <v/>
      </c>
      <c r="C16" s="641">
        <f>IFERROR(N(INDEX(Invoer!$D$38:$D$57,MATCH(10,Invoer!$BI$38:$BI$57,0))),0)</f>
        <v/>
      </c>
      <c r="D16" s="641">
        <f>IFERROR(N(INDEX(Invoer!$E$38:$E$57,MATCH(10,Invoer!$BI$38:$BI$57,0))),0)</f>
        <v/>
      </c>
      <c r="E16" s="641">
        <f>IFERROR(N(INDEX(Invoer!$F$38:$F$57,MATCH(10,Invoer!$BI$38:$BI$57,0))),0)</f>
        <v/>
      </c>
      <c r="F16" s="641">
        <f>IFERROR(N(INDEX(Invoer!$G$38:$G$57,MATCH(10,Invoer!$BI$38:$BI$57,0))),0)</f>
        <v/>
      </c>
      <c r="G16" s="641">
        <f>IFERROR(N(INDEX(Invoer!$H$38:$H$57,MATCH(10,Invoer!$BI$38:$BI$57,0))),0)</f>
        <v/>
      </c>
      <c r="H16" s="641">
        <f>IFERROR(N(INDEX(Invoer!$I$38:$I$57,MATCH(10,Invoer!$BI$38:$BI$57,0))),0)</f>
        <v/>
      </c>
      <c r="I16" s="641">
        <f>IFERROR(N(INDEX(Invoer!$J$38:$J$57,MATCH(10,Invoer!$BI$38:$BI$57,0))),0)</f>
        <v/>
      </c>
      <c r="J16" s="641">
        <f>IFERROR(N(INDEX(Invoer!$K$38:$K$57,MATCH(10,Invoer!$BI$38:$BI$57,0))),0)</f>
        <v/>
      </c>
      <c r="K16" s="414">
        <f>IFERROR(IF(INDEX(Invoer!$L$38:$L$57,MATCH(10,Invoer!$BI$38:$BI$57,0))="","",INDEX(Invoer!$L$38:$L$57,MATCH(10,Invoer!$BI$38:$BI$57,0))),"")</f>
        <v/>
      </c>
      <c r="L16" s="642">
        <f>IFERROR(N(INDEX(Invoer!$M$38:$M$57,MATCH(10,Invoer!$BI$38:$BI$57,0))),0)</f>
        <v/>
      </c>
      <c r="M16" s="419">
        <f>IFERROR(IF(INDEX(Invoer!$BS$38:$BS$57,MATCH(10,Invoer!$BI$38:$BI$57,0))="","",INDEX(Invoer!$BS$38:$BS$57,MATCH(10,Invoer!$BI$38:$BI$57,0))),"")</f>
        <v/>
      </c>
      <c r="N16" s="419">
        <f>IFERROR(IF(INDEX(Invoer!$BT$38:$BT$57,MATCH(10,Invoer!$BI$38:$BI$57,0))="","",INDEX(Invoer!$BT$38:$BT$57,MATCH(10,Invoer!$BI$38:$BI$57,0))),"")</f>
        <v/>
      </c>
      <c r="O16" s="450" t="n"/>
      <c r="P16" s="421">
        <f>IFERROR(IF(INDEX(Invoer!$Q$38:$Q$57,MATCH(10,Invoer!$BI$38:$BI$57,0))="","",INDEX(Invoer!$Q$38:$Q$57,MATCH(10,Invoer!$BI$38:$BI$57,0))),"")</f>
        <v/>
      </c>
      <c r="Q16" s="450" t="n"/>
      <c r="R16" s="419">
        <f>IFERROR(IF(INDEX(Invoer!$R$38:$R$57,MATCH(10,Invoer!$BI$38:$BI$57,0))="","",INDEX(Invoer!$R$38:$R$57,MATCH(10,Invoer!$BI$38:$BI$57,0))),"")</f>
        <v/>
      </c>
      <c r="S16" s="450" t="n"/>
      <c r="T16" s="419">
        <f>IFERROR(IF(INDEX(Invoer!$P$38:$P$57,MATCH(10,Invoer!$BI$38:$BI$57,0))="","",INDEX(Invoer!$P$38:$P$57,MATCH(10,Invoer!$BI$38:$BI$57,0))),"")</f>
        <v/>
      </c>
      <c r="U16" s="450" t="n"/>
      <c r="V16" s="645">
        <f>IFERROR(N(INDEX(Invoer!$S$38:$S$57,MATCH(10,Invoer!$BI$38:$BI$57,0))),0)</f>
        <v/>
      </c>
      <c r="W16" s="419">
        <f>IFERROR(IF(INDEX(Invoer!$T$38:$T$57,MATCH(10,Invoer!$BI$38:$BI$57,0))="","",INDEX(Invoer!$T$38:$T$57,MATCH(10,Invoer!$BI$38:$BI$57,0))),"")</f>
        <v/>
      </c>
      <c r="Y16" s="419">
        <f>IFERROR(IF(INDEX(Invoer!$U$38:$U$57,MATCH(10,Invoer!$BI$38:$BI$57,0))="","",INDEX(Invoer!$U$38:$U$57,MATCH(10,Invoer!$BI$38:$BI$57,0))),"")</f>
        <v/>
      </c>
      <c r="Z16" s="419">
        <f>IFERROR(IF(INDEX(Invoer!$V$38:$V$57,MATCH(10,Invoer!$BI$38:$BI$57,0))="","",INDEX(Invoer!$V$38:$V$57,MATCH(10,Invoer!$BI$38:$BI$57,0))),"")</f>
        <v/>
      </c>
      <c r="AA16" s="419">
        <f>IFERROR(IF(INDEX(Invoer!$W$38:$W$57,MATCH(10,Invoer!$BI$38:$BI$57,0))="","",INDEX(Invoer!$W$38:$W$57,MATCH(10,Invoer!$BI$38:$BI$57,0))),"")</f>
        <v/>
      </c>
      <c r="AC16" s="642">
        <f>IFERROR(N(INDEX(Invoer!$X$38:$X$57,MATCH(10,Invoer!$BI$38:$BI$57,0))),0)</f>
        <v/>
      </c>
      <c r="AD16" s="642">
        <f>IFERROR(N(INDEX(Invoer!$Y$38:$Y$57,MATCH(10,Invoer!$BI$38:$BI$57,0))),0)</f>
        <v/>
      </c>
      <c r="AE16" s="642">
        <f>IFERROR(N(INDEX(Invoer!$Z$38:$Z$57,MATCH(10,Invoer!$BI$38:$BI$57,0))),0)</f>
        <v/>
      </c>
      <c r="AF16" s="642">
        <f>IFERROR(N(INDEX(Invoer!$AA$38:$AA$57,MATCH(10,Invoer!$BI$38:$BI$57,0))),0)</f>
        <v/>
      </c>
      <c r="AG16" s="642">
        <f>IFERROR(N(INDEX(Invoer!$AB$38:$AB$57,MATCH(10,Invoer!$BI$38:$BI$57,0))),0)</f>
        <v/>
      </c>
      <c r="AH16" s="642">
        <f>IFERROR(N(INDEX(Invoer!$AC$38:$AC$57,MATCH(10,Invoer!$BI$38:$BI$57,0))),0)</f>
        <v/>
      </c>
      <c r="AJ16" s="642">
        <f>IFERROR(N(INDEX(Invoer!$BC$38:$BC$57,MATCH(10,Invoer!$BI$38:$BI$57,0))),0)</f>
        <v/>
      </c>
      <c r="AL16" s="642">
        <f>IFERROR(N(INDEX(Invoer!$BD$38:$BD$57,MATCH(10,Invoer!$BI$38:$BI$57,0))),0)</f>
        <v/>
      </c>
      <c r="AM16" s="450" t="n"/>
      <c r="AN16" s="642">
        <f>IFERROR(N(INDEX(Invoer!$AD$38:$AD$57,MATCH(10,Invoer!$BI$38:$BI$57,0))),0)</f>
        <v/>
      </c>
      <c r="AP16" s="452">
        <f>(($AC$5*(IF(ISNUMBER($AC16),$AC16,0))+$AD$5*(IF(ISNUMBER($AD16),$AD16,0))+$AE$5*(IF(ISNUMBER($AE16),$AE16,0))+$AF$5*(IF(ISNUMBER($AF16),$AF16,0))+$AG$5*(IF(ISNUMBER($AG16),$AG16,0))+$AH$5*(IF(ISNUMBER($AH16),$AH16,0)))+(IF(ISNUMBER($AN16),$AN16,0)))*(IF(W16="j",1,IF(W16="m",12,IF(W16="w",52,IF(W16="d",365,0)))))*V16</f>
        <v/>
      </c>
      <c r="AQ16" s="286" t="n"/>
      <c r="AR16" s="642">
        <f>IFERROR(N(INDEX(Invoer!$AL$38:$AL$57,MATCH(10,Invoer!$BI$38:$BI$57,0))),0)</f>
        <v/>
      </c>
      <c r="AS16" s="642">
        <f>IFERROR(N(INDEX(Invoer!$AM$38:$AM$57,MATCH(10,Invoer!$BI$38:$BI$57,0))),0)</f>
        <v/>
      </c>
      <c r="AT16" s="642">
        <f>IFERROR(N(INDEX(Invoer!$AN$38:$AN$57,MATCH(10,Invoer!$BI$38:$BI$57,0))),0)</f>
        <v/>
      </c>
      <c r="AV16" s="452">
        <f>$AR16+$AS16+$AT16</f>
        <v/>
      </c>
      <c r="AX16" s="420">
        <f>IFERROR(IF(INDEX(Invoer!$BE$38:$BE$57,MATCH(10,Invoer!$BI$38:$BI$57,0))="","",INDEX(Invoer!$BE$38:$BE$57,MATCH(10,Invoer!$BI$38:$BI$57,0))),"")</f>
        <v/>
      </c>
    </row>
    <row r="17" ht="9.949999999999999" customHeight="1" s="189">
      <c r="A17" s="640">
        <f>IFERROR(N(INDEX(Invoer!$B$38:$B$57,MATCH(11,Invoer!$BI$38:$BI$57,0))),0)</f>
        <v/>
      </c>
      <c r="B17" s="640">
        <f>IFERROR(N(INDEX(Invoer!$C$38:$C$57,MATCH(11,Invoer!$BI$38:$BI$57,0))),0)</f>
        <v/>
      </c>
      <c r="C17" s="640">
        <f>IFERROR(N(INDEX(Invoer!$D$38:$D$57,MATCH(11,Invoer!$BI$38:$BI$57,0))),0)</f>
        <v/>
      </c>
      <c r="D17" s="640">
        <f>IFERROR(N(INDEX(Invoer!$E$38:$E$57,MATCH(11,Invoer!$BI$38:$BI$57,0))),0)</f>
        <v/>
      </c>
      <c r="E17" s="640">
        <f>IFERROR(N(INDEX(Invoer!$F$38:$F$57,MATCH(11,Invoer!$BI$38:$BI$57,0))),0)</f>
        <v/>
      </c>
      <c r="F17" s="640">
        <f>IFERROR(N(INDEX(Invoer!$G$38:$G$57,MATCH(11,Invoer!$BI$38:$BI$57,0))),0)</f>
        <v/>
      </c>
      <c r="G17" s="640">
        <f>IFERROR(N(INDEX(Invoer!$H$38:$H$57,MATCH(11,Invoer!$BI$38:$BI$57,0))),0)</f>
        <v/>
      </c>
      <c r="H17" s="640">
        <f>IFERROR(N(INDEX(Invoer!$I$38:$I$57,MATCH(11,Invoer!$BI$38:$BI$57,0))),0)</f>
        <v/>
      </c>
      <c r="I17" s="640">
        <f>IFERROR(N(INDEX(Invoer!$J$38:$J$57,MATCH(11,Invoer!$BI$38:$BI$57,0))),0)</f>
        <v/>
      </c>
      <c r="J17" s="640">
        <f>IFERROR(N(INDEX(Invoer!$K$38:$K$57,MATCH(11,Invoer!$BI$38:$BI$57,0))),0)</f>
        <v/>
      </c>
      <c r="K17" s="414">
        <f>IFERROR(IF(INDEX(Invoer!$L$38:$L$57,MATCH(11,Invoer!$BI$38:$BI$57,0))="","",INDEX(Invoer!$L$38:$L$57,MATCH(11,Invoer!$BI$38:$BI$57,0))),"")</f>
        <v/>
      </c>
      <c r="L17" s="642">
        <f>IFERROR(N(INDEX(Invoer!$M$38:$M$57,MATCH(11,Invoer!$BI$38:$BI$57,0))),0)</f>
        <v/>
      </c>
      <c r="M17" s="419">
        <f>IFERROR(IF(INDEX(Invoer!$BS$38:$BS$57,MATCH(11,Invoer!$BI$38:$BI$57,0))="","",INDEX(Invoer!$BS$38:$BS$57,MATCH(11,Invoer!$BI$38:$BI$57,0))),"")</f>
        <v/>
      </c>
      <c r="N17" s="419">
        <f>IFERROR(IF(INDEX(Invoer!$BT$38:$BT$57,MATCH(11,Invoer!$BI$38:$BI$57,0))="","",INDEX(Invoer!$BT$38:$BT$57,MATCH(11,Invoer!$BI$38:$BI$57,0))),"")</f>
        <v/>
      </c>
      <c r="O17" s="450" t="n"/>
      <c r="P17" s="421">
        <f>IFERROR(IF(INDEX(Invoer!$Q$38:$Q$57,MATCH(11,Invoer!$BI$38:$BI$57,0))="","",INDEX(Invoer!$Q$38:$Q$57,MATCH(11,Invoer!$BI$38:$BI$57,0))),"")</f>
        <v/>
      </c>
      <c r="Q17" s="450" t="n"/>
      <c r="R17" s="419">
        <f>IFERROR(IF(INDEX(Invoer!$R$38:$R$57,MATCH(11,Invoer!$BI$38:$BI$57,0))="","",INDEX(Invoer!$R$38:$R$57,MATCH(11,Invoer!$BI$38:$BI$57,0))),"")</f>
        <v/>
      </c>
      <c r="S17" s="450" t="n"/>
      <c r="T17" s="419">
        <f>IFERROR(IF(INDEX(Invoer!$P$38:$P$57,MATCH(11,Invoer!$BI$38:$BI$57,0))="","",INDEX(Invoer!$P$38:$P$57,MATCH(11,Invoer!$BI$38:$BI$57,0))),"")</f>
        <v/>
      </c>
      <c r="U17" s="450" t="n"/>
      <c r="V17" s="645">
        <f>IFERROR(N(INDEX(Invoer!$S$38:$S$57,MATCH(11,Invoer!$BI$38:$BI$57,0))),0)</f>
        <v/>
      </c>
      <c r="W17" s="419">
        <f>IFERROR(IF(INDEX(Invoer!$T$38:$T$57,MATCH(11,Invoer!$BI$38:$BI$57,0))="","",INDEX(Invoer!$T$38:$T$57,MATCH(11,Invoer!$BI$38:$BI$57,0))),"")</f>
        <v/>
      </c>
      <c r="Y17" s="419">
        <f>IFERROR(IF(INDEX(Invoer!$U$38:$U$57,MATCH(11,Invoer!$BI$38:$BI$57,0))="","",INDEX(Invoer!$U$38:$U$57,MATCH(11,Invoer!$BI$38:$BI$57,0))),"")</f>
        <v/>
      </c>
      <c r="Z17" s="419">
        <f>IFERROR(IF(INDEX(Invoer!$V$38:$V$57,MATCH(11,Invoer!$BI$38:$BI$57,0))="","",INDEX(Invoer!$V$38:$V$57,MATCH(11,Invoer!$BI$38:$BI$57,0))),"")</f>
        <v/>
      </c>
      <c r="AA17" s="419">
        <f>IFERROR(IF(INDEX(Invoer!$W$38:$W$57,MATCH(11,Invoer!$BI$38:$BI$57,0))="","",INDEX(Invoer!$W$38:$W$57,MATCH(11,Invoer!$BI$38:$BI$57,0))),"")</f>
        <v/>
      </c>
      <c r="AC17" s="642">
        <f>IFERROR(N(INDEX(Invoer!$X$38:$X$57,MATCH(11,Invoer!$BI$38:$BI$57,0))),0)</f>
        <v/>
      </c>
      <c r="AD17" s="642">
        <f>IFERROR(N(INDEX(Invoer!$Y$38:$Y$57,MATCH(11,Invoer!$BI$38:$BI$57,0))),0)</f>
        <v/>
      </c>
      <c r="AE17" s="642">
        <f>IFERROR(N(INDEX(Invoer!$Z$38:$Z$57,MATCH(11,Invoer!$BI$38:$BI$57,0))),0)</f>
        <v/>
      </c>
      <c r="AF17" s="642">
        <f>IFERROR(N(INDEX(Invoer!$AA$38:$AA$57,MATCH(11,Invoer!$BI$38:$BI$57,0))),0)</f>
        <v/>
      </c>
      <c r="AG17" s="642">
        <f>IFERROR(N(INDEX(Invoer!$AB$38:$AB$57,MATCH(11,Invoer!$BI$38:$BI$57,0))),0)</f>
        <v/>
      </c>
      <c r="AH17" s="642">
        <f>IFERROR(N(INDEX(Invoer!$AC$38:$AC$57,MATCH(11,Invoer!$BI$38:$BI$57,0))),0)</f>
        <v/>
      </c>
      <c r="AJ17" s="642">
        <f>IFERROR(N(INDEX(Invoer!$BC$38:$BC$57,MATCH(11,Invoer!$BI$38:$BI$57,0))),0)</f>
        <v/>
      </c>
      <c r="AL17" s="642">
        <f>IFERROR(N(INDEX(Invoer!$BD$38:$BD$57,MATCH(11,Invoer!$BI$38:$BI$57,0))),0)</f>
        <v/>
      </c>
      <c r="AM17" s="450" t="n"/>
      <c r="AN17" s="642">
        <f>IFERROR(N(INDEX(Invoer!$AD$38:$AD$57,MATCH(11,Invoer!$BI$38:$BI$57,0))),0)</f>
        <v/>
      </c>
      <c r="AP17" s="452">
        <f>(($AC$5*(IF(ISNUMBER($AC17),$AC17,0))+$AD$5*(IF(ISNUMBER($AD17),$AD17,0))+$AE$5*(IF(ISNUMBER($AE17),$AE17,0))+$AF$5*(IF(ISNUMBER($AF17),$AF17,0))+$AG$5*(IF(ISNUMBER($AG17),$AG17,0))+$AH$5*(IF(ISNUMBER($AH17),$AH17,0)))+(IF(ISNUMBER($AN17),$AN17,0)))*(IF(W17="j",1,IF(W17="m",12,IF(W17="w",52,IF(W17="d",365,0)))))*V17</f>
        <v/>
      </c>
      <c r="AQ17" s="286" t="n"/>
      <c r="AR17" s="642">
        <f>IFERROR(N(INDEX(Invoer!$AL$38:$AL$57,MATCH(11,Invoer!$BI$38:$BI$57,0))),0)</f>
        <v/>
      </c>
      <c r="AS17" s="642">
        <f>IFERROR(N(INDEX(Invoer!$AM$38:$AM$57,MATCH(11,Invoer!$BI$38:$BI$57,0))),0)</f>
        <v/>
      </c>
      <c r="AT17" s="642">
        <f>IFERROR(N(INDEX(Invoer!$AN$38:$AN$57,MATCH(11,Invoer!$BI$38:$BI$57,0))),0)</f>
        <v/>
      </c>
      <c r="AV17" s="452">
        <f>$AR17+$AS17+$AT17</f>
        <v/>
      </c>
      <c r="AX17" s="420">
        <f>IFERROR(IF(INDEX(Invoer!$BE$38:$BE$57,MATCH(11,Invoer!$BI$38:$BI$57,0))="","",INDEX(Invoer!$BE$38:$BE$57,MATCH(11,Invoer!$BI$38:$BI$57,0))),"")</f>
        <v/>
      </c>
    </row>
    <row r="18" ht="9.949999999999999" customHeight="1" s="189">
      <c r="A18" s="640">
        <f>IFERROR(N(INDEX(Invoer!$B$38:$B$57,MATCH(12,Invoer!$BI$38:$BI$57,0))),0)</f>
        <v/>
      </c>
      <c r="B18" s="640">
        <f>IFERROR(N(INDEX(Invoer!$C$38:$C$57,MATCH(12,Invoer!$BI$38:$BI$57,0))),0)</f>
        <v/>
      </c>
      <c r="C18" s="640">
        <f>IFERROR(N(INDEX(Invoer!$D$38:$D$57,MATCH(12,Invoer!$BI$38:$BI$57,0))),0)</f>
        <v/>
      </c>
      <c r="D18" s="640">
        <f>IFERROR(N(INDEX(Invoer!$E$38:$E$57,MATCH(12,Invoer!$BI$38:$BI$57,0))),0)</f>
        <v/>
      </c>
      <c r="E18" s="640">
        <f>IFERROR(N(INDEX(Invoer!$F$38:$F$57,MATCH(12,Invoer!$BI$38:$BI$57,0))),0)</f>
        <v/>
      </c>
      <c r="F18" s="640">
        <f>IFERROR(N(INDEX(Invoer!$G$38:$G$57,MATCH(12,Invoer!$BI$38:$BI$57,0))),0)</f>
        <v/>
      </c>
      <c r="G18" s="640">
        <f>IFERROR(N(INDEX(Invoer!$H$38:$H$57,MATCH(12,Invoer!$BI$38:$BI$57,0))),0)</f>
        <v/>
      </c>
      <c r="H18" s="640">
        <f>IFERROR(N(INDEX(Invoer!$I$38:$I$57,MATCH(12,Invoer!$BI$38:$BI$57,0))),0)</f>
        <v/>
      </c>
      <c r="I18" s="640">
        <f>IFERROR(N(INDEX(Invoer!$J$38:$J$57,MATCH(12,Invoer!$BI$38:$BI$57,0))),0)</f>
        <v/>
      </c>
      <c r="J18" s="640">
        <f>IFERROR(N(INDEX(Invoer!$K$38:$K$57,MATCH(12,Invoer!$BI$38:$BI$57,0))),0)</f>
        <v/>
      </c>
      <c r="K18" s="414">
        <f>IFERROR(IF(INDEX(Invoer!$L$38:$L$57,MATCH(12,Invoer!$BI$38:$BI$57,0))="","",INDEX(Invoer!$L$38:$L$57,MATCH(12,Invoer!$BI$38:$BI$57,0))),"")</f>
        <v/>
      </c>
      <c r="L18" s="642">
        <f>IFERROR(N(INDEX(Invoer!$M$38:$M$57,MATCH(12,Invoer!$BI$38:$BI$57,0))),0)</f>
        <v/>
      </c>
      <c r="M18" s="419">
        <f>IFERROR(IF(INDEX(Invoer!$BS$38:$BS$57,MATCH(12,Invoer!$BI$38:$BI$57,0))="","",INDEX(Invoer!$BS$38:$BS$57,MATCH(12,Invoer!$BI$38:$BI$57,0))),"")</f>
        <v/>
      </c>
      <c r="N18" s="419">
        <f>IFERROR(IF(INDEX(Invoer!$BT$38:$BT$57,MATCH(12,Invoer!$BI$38:$BI$57,0))="","",INDEX(Invoer!$BT$38:$BT$57,MATCH(12,Invoer!$BI$38:$BI$57,0))),"")</f>
        <v/>
      </c>
      <c r="O18" s="450" t="n"/>
      <c r="P18" s="416">
        <f>IFERROR(IF(INDEX(Invoer!$Q$38:$Q$57,MATCH(12,Invoer!$BI$38:$BI$57,0))="","",INDEX(Invoer!$Q$38:$Q$57,MATCH(12,Invoer!$BI$38:$BI$57,0))),"")</f>
        <v/>
      </c>
      <c r="Q18" s="450" t="n"/>
      <c r="R18" s="419">
        <f>IFERROR(IF(INDEX(Invoer!$R$38:$R$57,MATCH(12,Invoer!$BI$38:$BI$57,0))="","",INDEX(Invoer!$R$38:$R$57,MATCH(12,Invoer!$BI$38:$BI$57,0))),"")</f>
        <v/>
      </c>
      <c r="S18" s="450" t="n"/>
      <c r="T18" s="419">
        <f>IFERROR(IF(INDEX(Invoer!$P$38:$P$57,MATCH(12,Invoer!$BI$38:$BI$57,0))="","",INDEX(Invoer!$P$38:$P$57,MATCH(12,Invoer!$BI$38:$BI$57,0))),"")</f>
        <v/>
      </c>
      <c r="U18" s="450" t="n"/>
      <c r="V18" s="645">
        <f>IFERROR(N(INDEX(Invoer!$S$38:$S$57,MATCH(12,Invoer!$BI$38:$BI$57,0))),0)</f>
        <v/>
      </c>
      <c r="W18" s="419">
        <f>IFERROR(IF(INDEX(Invoer!$T$38:$T$57,MATCH(12,Invoer!$BI$38:$BI$57,0))="","",INDEX(Invoer!$T$38:$T$57,MATCH(12,Invoer!$BI$38:$BI$57,0))),"")</f>
        <v/>
      </c>
      <c r="Y18" s="419">
        <f>IFERROR(IF(INDEX(Invoer!$U$38:$U$57,MATCH(12,Invoer!$BI$38:$BI$57,0))="","",INDEX(Invoer!$U$38:$U$57,MATCH(12,Invoer!$BI$38:$BI$57,0))),"")</f>
        <v/>
      </c>
      <c r="Z18" s="419">
        <f>IFERROR(IF(INDEX(Invoer!$V$38:$V$57,MATCH(12,Invoer!$BI$38:$BI$57,0))="","",INDEX(Invoer!$V$38:$V$57,MATCH(12,Invoer!$BI$38:$BI$57,0))),"")</f>
        <v/>
      </c>
      <c r="AA18" s="419">
        <f>IFERROR(IF(INDEX(Invoer!$W$38:$W$57,MATCH(12,Invoer!$BI$38:$BI$57,0))="","",INDEX(Invoer!$W$38:$W$57,MATCH(12,Invoer!$BI$38:$BI$57,0))),"")</f>
        <v/>
      </c>
      <c r="AC18" s="642">
        <f>IFERROR(N(INDEX(Invoer!$X$38:$X$57,MATCH(12,Invoer!$BI$38:$BI$57,0))),0)</f>
        <v/>
      </c>
      <c r="AD18" s="642">
        <f>IFERROR(N(INDEX(Invoer!$Y$38:$Y$57,MATCH(12,Invoer!$BI$38:$BI$57,0))),0)</f>
        <v/>
      </c>
      <c r="AE18" s="642">
        <f>IFERROR(N(INDEX(Invoer!$Z$38:$Z$57,MATCH(12,Invoer!$BI$38:$BI$57,0))),0)</f>
        <v/>
      </c>
      <c r="AF18" s="642">
        <f>IFERROR(N(INDEX(Invoer!$AA$38:$AA$57,MATCH(12,Invoer!$BI$38:$BI$57,0))),0)</f>
        <v/>
      </c>
      <c r="AG18" s="642">
        <f>IFERROR(N(INDEX(Invoer!$AB$38:$AB$57,MATCH(12,Invoer!$BI$38:$BI$57,0))),0)</f>
        <v/>
      </c>
      <c r="AH18" s="642">
        <f>IFERROR(N(INDEX(Invoer!$AC$38:$AC$57,MATCH(12,Invoer!$BI$38:$BI$57,0))),0)</f>
        <v/>
      </c>
      <c r="AJ18" s="642">
        <f>IFERROR(N(INDEX(Invoer!$BC$38:$BC$57,MATCH(12,Invoer!$BI$38:$BI$57,0))),0)</f>
        <v/>
      </c>
      <c r="AL18" s="642">
        <f>IFERROR(N(INDEX(Invoer!$BD$38:$BD$57,MATCH(12,Invoer!$BI$38:$BI$57,0))),0)</f>
        <v/>
      </c>
      <c r="AM18" s="450" t="n"/>
      <c r="AN18" s="642">
        <f>IFERROR(N(INDEX(Invoer!$AD$38:$AD$57,MATCH(12,Invoer!$BI$38:$BI$57,0))),0)</f>
        <v/>
      </c>
      <c r="AP18" s="452">
        <f>(($AC$5*(IF(ISNUMBER($AC18),$AC18,0))+$AD$5*(IF(ISNUMBER($AD18),$AD18,0))+$AE$5*(IF(ISNUMBER($AE18),$AE18,0))+$AF$5*(IF(ISNUMBER($AF18),$AF18,0))+$AG$5*(IF(ISNUMBER($AG18),$AG18,0))+$AH$5*(IF(ISNUMBER($AH18),$AH18,0)))+(IF(ISNUMBER($AN18),$AN18,0)))*(IF(W18="j",1,IF(W18="m",12,IF(W18="w",52,IF(W18="d",365,0)))))*V18</f>
        <v/>
      </c>
      <c r="AQ18" s="286" t="n"/>
      <c r="AR18" s="642">
        <f>IFERROR(N(INDEX(Invoer!$AL$38:$AL$57,MATCH(12,Invoer!$BI$38:$BI$57,0))),0)</f>
        <v/>
      </c>
      <c r="AS18" s="642">
        <f>IFERROR(N(INDEX(Invoer!$AM$38:$AM$57,MATCH(12,Invoer!$BI$38:$BI$57,0))),0)</f>
        <v/>
      </c>
      <c r="AT18" s="642">
        <f>IFERROR(N(INDEX(Invoer!$AN$38:$AN$57,MATCH(12,Invoer!$BI$38:$BI$57,0))),0)</f>
        <v/>
      </c>
      <c r="AV18" s="452">
        <f>$AR18+$AS18+$AT18</f>
        <v/>
      </c>
      <c r="AX18" s="420">
        <f>IFERROR(IF(INDEX(Invoer!$BE$38:$BE$57,MATCH(12,Invoer!$BI$38:$BI$57,0))="","",INDEX(Invoer!$BE$38:$BE$57,MATCH(12,Invoer!$BI$38:$BI$57,0))),"")</f>
        <v/>
      </c>
    </row>
    <row r="19" ht="9.949999999999999" customHeight="1" s="189">
      <c r="A19" s="640">
        <f>IFERROR(N(INDEX(Invoer!$B$38:$B$57,MATCH(13,Invoer!$BI$38:$BI$57,0))),0)</f>
        <v/>
      </c>
      <c r="B19" s="640">
        <f>IFERROR(N(INDEX(Invoer!$C$38:$C$57,MATCH(13,Invoer!$BI$38:$BI$57,0))),0)</f>
        <v/>
      </c>
      <c r="C19" s="640">
        <f>IFERROR(N(INDEX(Invoer!$D$38:$D$57,MATCH(13,Invoer!$BI$38:$BI$57,0))),0)</f>
        <v/>
      </c>
      <c r="D19" s="640">
        <f>IFERROR(N(INDEX(Invoer!$E$38:$E$57,MATCH(13,Invoer!$BI$38:$BI$57,0))),0)</f>
        <v/>
      </c>
      <c r="E19" s="640">
        <f>IFERROR(N(INDEX(Invoer!$F$38:$F$57,MATCH(13,Invoer!$BI$38:$BI$57,0))),0)</f>
        <v/>
      </c>
      <c r="F19" s="640">
        <f>IFERROR(N(INDEX(Invoer!$G$38:$G$57,MATCH(13,Invoer!$BI$38:$BI$57,0))),0)</f>
        <v/>
      </c>
      <c r="G19" s="640">
        <f>IFERROR(N(INDEX(Invoer!$H$38:$H$57,MATCH(13,Invoer!$BI$38:$BI$57,0))),0)</f>
        <v/>
      </c>
      <c r="H19" s="640">
        <f>IFERROR(N(INDEX(Invoer!$I$38:$I$57,MATCH(13,Invoer!$BI$38:$BI$57,0))),0)</f>
        <v/>
      </c>
      <c r="I19" s="640">
        <f>IFERROR(N(INDEX(Invoer!$J$38:$J$57,MATCH(13,Invoer!$BI$38:$BI$57,0))),0)</f>
        <v/>
      </c>
      <c r="J19" s="640">
        <f>IFERROR(N(INDEX(Invoer!$K$38:$K$57,MATCH(13,Invoer!$BI$38:$BI$57,0))),0)</f>
        <v/>
      </c>
      <c r="K19" s="414">
        <f>IFERROR(IF(INDEX(Invoer!$L$38:$L$57,MATCH(13,Invoer!$BI$38:$BI$57,0))="","",INDEX(Invoer!$L$38:$L$57,MATCH(13,Invoer!$BI$38:$BI$57,0))),"")</f>
        <v/>
      </c>
      <c r="L19" s="642">
        <f>IFERROR(N(INDEX(Invoer!$M$38:$M$57,MATCH(13,Invoer!$BI$38:$BI$57,0))),0)</f>
        <v/>
      </c>
      <c r="M19" s="419">
        <f>IFERROR(IF(INDEX(Invoer!$BS$38:$BS$57,MATCH(13,Invoer!$BI$38:$BI$57,0))="","",INDEX(Invoer!$BS$38:$BS$57,MATCH(13,Invoer!$BI$38:$BI$57,0))),"")</f>
        <v/>
      </c>
      <c r="N19" s="419">
        <f>IFERROR(IF(INDEX(Invoer!$BT$38:$BT$57,MATCH(13,Invoer!$BI$38:$BI$57,0))="","",INDEX(Invoer!$BT$38:$BT$57,MATCH(13,Invoer!$BI$38:$BI$57,0))),"")</f>
        <v/>
      </c>
      <c r="O19" s="450" t="n"/>
      <c r="P19" s="416">
        <f>IFERROR(IF(INDEX(Invoer!$Q$38:$Q$57,MATCH(13,Invoer!$BI$38:$BI$57,0))="","",INDEX(Invoer!$Q$38:$Q$57,MATCH(13,Invoer!$BI$38:$BI$57,0))),"")</f>
        <v/>
      </c>
      <c r="Q19" s="450" t="n"/>
      <c r="R19" s="419">
        <f>IFERROR(IF(INDEX(Invoer!$R$38:$R$57,MATCH(13,Invoer!$BI$38:$BI$57,0))="","",INDEX(Invoer!$R$38:$R$57,MATCH(13,Invoer!$BI$38:$BI$57,0))),"")</f>
        <v/>
      </c>
      <c r="S19" s="450" t="n"/>
      <c r="T19" s="419">
        <f>IFERROR(IF(INDEX(Invoer!$P$38:$P$57,MATCH(13,Invoer!$BI$38:$BI$57,0))="","",INDEX(Invoer!$P$38:$P$57,MATCH(13,Invoer!$BI$38:$BI$57,0))),"")</f>
        <v/>
      </c>
      <c r="U19" s="450" t="n"/>
      <c r="V19" s="645">
        <f>IFERROR(N(INDEX(Invoer!$S$38:$S$57,MATCH(13,Invoer!$BI$38:$BI$57,0))),0)</f>
        <v/>
      </c>
      <c r="W19" s="419">
        <f>IFERROR(IF(INDEX(Invoer!$T$38:$T$57,MATCH(13,Invoer!$BI$38:$BI$57,0))="","",INDEX(Invoer!$T$38:$T$57,MATCH(13,Invoer!$BI$38:$BI$57,0))),"")</f>
        <v/>
      </c>
      <c r="Y19" s="419">
        <f>IFERROR(IF(INDEX(Invoer!$U$38:$U$57,MATCH(13,Invoer!$BI$38:$BI$57,0))="","",INDEX(Invoer!$U$38:$U$57,MATCH(13,Invoer!$BI$38:$BI$57,0))),"")</f>
        <v/>
      </c>
      <c r="Z19" s="419">
        <f>IFERROR(IF(INDEX(Invoer!$V$38:$V$57,MATCH(13,Invoer!$BI$38:$BI$57,0))="","",INDEX(Invoer!$V$38:$V$57,MATCH(13,Invoer!$BI$38:$BI$57,0))),"")</f>
        <v/>
      </c>
      <c r="AA19" s="419">
        <f>IFERROR(IF(INDEX(Invoer!$W$38:$W$57,MATCH(13,Invoer!$BI$38:$BI$57,0))="","",INDEX(Invoer!$W$38:$W$57,MATCH(13,Invoer!$BI$38:$BI$57,0))),"")</f>
        <v/>
      </c>
      <c r="AC19" s="642">
        <f>IFERROR(N(INDEX(Invoer!$X$38:$X$57,MATCH(13,Invoer!$BI$38:$BI$57,0))),0)</f>
        <v/>
      </c>
      <c r="AD19" s="642">
        <f>IFERROR(N(INDEX(Invoer!$Y$38:$Y$57,MATCH(13,Invoer!$BI$38:$BI$57,0))),0)</f>
        <v/>
      </c>
      <c r="AE19" s="642">
        <f>IFERROR(N(INDEX(Invoer!$Z$38:$Z$57,MATCH(13,Invoer!$BI$38:$BI$57,0))),0)</f>
        <v/>
      </c>
      <c r="AF19" s="642">
        <f>IFERROR(N(INDEX(Invoer!$AA$38:$AA$57,MATCH(13,Invoer!$BI$38:$BI$57,0))),0)</f>
        <v/>
      </c>
      <c r="AG19" s="642">
        <f>IFERROR(N(INDEX(Invoer!$AB$38:$AB$57,MATCH(13,Invoer!$BI$38:$BI$57,0))),0)</f>
        <v/>
      </c>
      <c r="AH19" s="642">
        <f>IFERROR(N(INDEX(Invoer!$AC$38:$AC$57,MATCH(13,Invoer!$BI$38:$BI$57,0))),0)</f>
        <v/>
      </c>
      <c r="AJ19" s="642">
        <f>IFERROR(N(INDEX(Invoer!$BC$38:$BC$57,MATCH(13,Invoer!$BI$38:$BI$57,0))),0)</f>
        <v/>
      </c>
      <c r="AL19" s="642">
        <f>IFERROR(N(INDEX(Invoer!$BD$38:$BD$57,MATCH(13,Invoer!$BI$38:$BI$57,0))),0)</f>
        <v/>
      </c>
      <c r="AM19" s="450" t="n"/>
      <c r="AN19" s="642">
        <f>IFERROR(N(INDEX(Invoer!$AD$38:$AD$57,MATCH(13,Invoer!$BI$38:$BI$57,0))),0)</f>
        <v/>
      </c>
      <c r="AP19" s="452">
        <f>(($AC$5*(IF(ISNUMBER($AC19),$AC19,0))+$AD$5*(IF(ISNUMBER($AD19),$AD19,0))+$AE$5*(IF(ISNUMBER($AE19),$AE19,0))+$AF$5*(IF(ISNUMBER($AF19),$AF19,0))+$AG$5*(IF(ISNUMBER($AG19),$AG19,0))+$AH$5*(IF(ISNUMBER($AH19),$AH19,0)))+(IF(ISNUMBER($AN19),$AN19,0)))*(IF(W19="j",1,IF(W19="m",12,IF(W19="w",52,IF(W19="d",365,0)))))*V19</f>
        <v/>
      </c>
      <c r="AQ19" s="286" t="n"/>
      <c r="AR19" s="642">
        <f>IFERROR(N(INDEX(Invoer!$AL$38:$AL$57,MATCH(13,Invoer!$BI$38:$BI$57,0))),0)</f>
        <v/>
      </c>
      <c r="AS19" s="642">
        <f>IFERROR(N(INDEX(Invoer!$AM$38:$AM$57,MATCH(13,Invoer!$BI$38:$BI$57,0))),0)</f>
        <v/>
      </c>
      <c r="AT19" s="642">
        <f>IFERROR(N(INDEX(Invoer!$AN$38:$AN$57,MATCH(13,Invoer!$BI$38:$BI$57,0))),0)</f>
        <v/>
      </c>
      <c r="AV19" s="452">
        <f>$AR19+$AS19+$AT19</f>
        <v/>
      </c>
      <c r="AX19" s="420">
        <f>IFERROR(IF(INDEX(Invoer!$BE$38:$BE$57,MATCH(13,Invoer!$BI$38:$BI$57,0))="","",INDEX(Invoer!$BE$38:$BE$57,MATCH(13,Invoer!$BI$38:$BI$57,0))),"")</f>
        <v/>
      </c>
    </row>
    <row r="20">
      <c r="O20" s="443" t="n"/>
      <c r="P20" s="443" t="n"/>
      <c r="R20" s="450" t="n"/>
      <c r="S20" s="443" t="n"/>
      <c r="T20" s="443" t="n"/>
      <c r="U20" s="443" t="n"/>
      <c r="V20" s="463" t="n"/>
      <c r="W20" s="443" t="n"/>
      <c r="X20" s="443" t="n"/>
      <c r="Y20" s="450" t="n"/>
      <c r="AB20" s="443" t="n"/>
      <c r="AF20" s="450" t="n"/>
      <c r="AH20" s="450" t="n"/>
      <c r="AI20" s="443" t="n"/>
      <c r="AK20" s="443" t="n"/>
      <c r="AM20" s="450" t="n"/>
      <c r="AN20" s="450" t="n"/>
      <c r="AP20" s="398" t="n"/>
      <c r="AQ20" s="286" t="n"/>
      <c r="AR20" s="450" t="n"/>
      <c r="AT20" s="450" t="n"/>
      <c r="AV20" s="450" t="n"/>
    </row>
    <row r="21" ht="12.75" customHeight="1" s="189">
      <c r="A21" s="454" t="n"/>
      <c r="B21" s="455" t="n"/>
      <c r="C21" s="455" t="n"/>
      <c r="D21" s="455" t="n"/>
      <c r="E21" s="455" t="n"/>
      <c r="F21" s="455" t="n"/>
      <c r="G21" s="455" t="n"/>
      <c r="H21" s="455" t="n"/>
      <c r="I21" s="455" t="n"/>
      <c r="J21" s="455" t="n"/>
      <c r="K21" s="455" t="n"/>
      <c r="L21" s="455" t="n"/>
      <c r="M21" s="455" t="n"/>
      <c r="N21" s="455" t="n"/>
      <c r="O21" s="455" t="n"/>
      <c r="P21" s="455" t="n"/>
      <c r="Q21" s="455" t="n"/>
      <c r="R21" s="456" t="n"/>
      <c r="S21" s="455" t="n"/>
      <c r="T21" s="455" t="n"/>
      <c r="U21" s="455" t="n"/>
      <c r="V21" s="457" t="n"/>
      <c r="W21" s="455" t="n"/>
      <c r="X21" s="455" t="n"/>
      <c r="Y21" s="425" t="n"/>
      <c r="Z21" s="425" t="n"/>
      <c r="AA21" s="425" t="n"/>
      <c r="AB21" s="455" t="n"/>
      <c r="AC21" s="426" t="n"/>
      <c r="AD21" s="426" t="n"/>
      <c r="AE21" s="426" t="n"/>
      <c r="AF21" s="426" t="n"/>
      <c r="AG21" s="426" t="n"/>
      <c r="AH21" s="426" t="n"/>
      <c r="AI21" s="455" t="n"/>
      <c r="AJ21" s="426" t="n"/>
      <c r="AK21" s="455" t="n"/>
      <c r="AL21" s="426" t="n"/>
      <c r="AM21" s="426" t="n"/>
      <c r="AN21" s="456" t="n"/>
      <c r="AO21" s="474" t="inlineStr">
        <is>
          <t>€</t>
        </is>
      </c>
      <c r="AP21" s="452">
        <f>SUM(AP7:AP19)</f>
        <v/>
      </c>
      <c r="AQ21" s="286" t="n"/>
      <c r="AR21" s="450" t="n"/>
      <c r="AT21" s="450" t="n"/>
      <c r="AV21" s="450" t="n"/>
      <c r="AX21" s="429">
        <f>TODAY()</f>
        <v/>
      </c>
    </row>
    <row r="22">
      <c r="O22" s="443" t="n"/>
      <c r="P22" s="443" t="n"/>
      <c r="R22" s="450" t="n"/>
      <c r="S22" s="443" t="n"/>
      <c r="T22" s="443" t="n"/>
      <c r="U22" s="443" t="n"/>
      <c r="V22" s="463" t="n"/>
      <c r="W22" s="443" t="n"/>
      <c r="X22" s="443" t="n"/>
      <c r="Y22" s="450" t="n"/>
      <c r="AB22" s="443" t="n"/>
      <c r="AF22" s="450" t="n"/>
      <c r="AH22" s="450" t="n"/>
      <c r="AI22" s="443" t="n"/>
      <c r="AK22" s="443" t="n"/>
      <c r="AM22" s="450" t="n"/>
      <c r="AN22" s="450" t="n"/>
      <c r="AP22" s="398" t="n"/>
      <c r="AQ22" s="286" t="n"/>
      <c r="AR22" s="450" t="n"/>
      <c r="AT22" s="450" t="n"/>
      <c r="AV22" s="450" t="n"/>
    </row>
    <row r="23">
      <c r="O23" s="443" t="n"/>
      <c r="P23" s="443" t="n"/>
      <c r="R23" s="450" t="n"/>
      <c r="S23" s="443" t="n"/>
      <c r="T23" s="443" t="n"/>
      <c r="U23" s="443" t="n"/>
      <c r="V23" s="463" t="n"/>
      <c r="W23" s="443" t="n"/>
      <c r="X23" s="443" t="n"/>
      <c r="Y23" s="450" t="n"/>
      <c r="AB23" s="443" t="n"/>
      <c r="AF23" s="450" t="n"/>
      <c r="AH23" s="450" t="n"/>
      <c r="AI23" s="443" t="n"/>
      <c r="AK23" s="443" t="n"/>
      <c r="AM23" s="450" t="n"/>
      <c r="AN23" s="450" t="n"/>
      <c r="AP23" s="398" t="n"/>
      <c r="AQ23" s="286" t="n"/>
      <c r="AR23" s="450" t="n"/>
      <c r="AT23" s="450" t="n"/>
      <c r="AV23" s="450" t="n"/>
    </row>
    <row r="24">
      <c r="O24" s="443" t="n"/>
      <c r="P24" s="443" t="n"/>
      <c r="R24" s="450" t="n"/>
      <c r="S24" s="443" t="n"/>
      <c r="T24" s="443" t="n"/>
      <c r="U24" s="443" t="n"/>
      <c r="V24" s="463" t="n"/>
      <c r="W24" s="443" t="n"/>
      <c r="X24" s="443" t="n"/>
      <c r="Y24" s="450" t="n"/>
      <c r="AB24" s="443" t="n"/>
      <c r="AF24" s="450" t="n"/>
      <c r="AH24" s="450" t="n"/>
      <c r="AI24" s="443" t="n"/>
      <c r="AK24" s="443" t="n"/>
      <c r="AM24" s="450" t="n"/>
      <c r="AN24" s="450" t="n"/>
      <c r="AP24" s="398" t="n"/>
      <c r="AQ24" s="286" t="n"/>
      <c r="AR24" s="450" t="n"/>
      <c r="AT24" s="450" t="n"/>
      <c r="AV24" s="450" t="n"/>
    </row>
    <row r="25">
      <c r="O25" s="443" t="n"/>
      <c r="P25" s="443" t="n"/>
      <c r="R25" s="450" t="n"/>
      <c r="S25" s="443" t="n"/>
      <c r="T25" s="443" t="n"/>
      <c r="U25" s="443" t="n"/>
      <c r="V25" s="463" t="n"/>
      <c r="W25" s="443" t="n"/>
      <c r="X25" s="443" t="n"/>
      <c r="Y25" s="450" t="n"/>
      <c r="AB25" s="443" t="n"/>
      <c r="AF25" s="450" t="n"/>
      <c r="AH25" s="450" t="n"/>
      <c r="AI25" s="443" t="n"/>
      <c r="AK25" s="443" t="n"/>
      <c r="AM25" s="450" t="n"/>
      <c r="AN25" s="450" t="n"/>
      <c r="AP25" s="398" t="n"/>
      <c r="AQ25" s="286" t="n"/>
      <c r="AR25" s="450" t="n"/>
      <c r="AT25" s="450" t="n"/>
      <c r="AV25" s="450" t="n"/>
    </row>
    <row r="26">
      <c r="O26" s="443" t="n"/>
      <c r="P26" s="443" t="n"/>
      <c r="R26" s="450" t="n"/>
      <c r="S26" s="443" t="n"/>
      <c r="T26" s="443" t="n"/>
      <c r="U26" s="443" t="n"/>
      <c r="V26" s="463" t="n"/>
      <c r="W26" s="443" t="n"/>
      <c r="X26" s="443" t="n"/>
      <c r="Y26" s="450" t="n"/>
      <c r="AB26" s="443" t="n"/>
      <c r="AF26" s="450" t="n"/>
      <c r="AH26" s="450" t="n"/>
      <c r="AI26" s="443" t="n"/>
      <c r="AK26" s="443" t="n"/>
      <c r="AM26" s="450" t="n"/>
      <c r="AN26" s="450" t="n"/>
      <c r="AP26" s="398" t="n"/>
      <c r="AQ26" s="286" t="n"/>
      <c r="AR26" s="450" t="n"/>
      <c r="AT26" s="450" t="n"/>
      <c r="AV26" s="450" t="n"/>
    </row>
    <row r="27">
      <c r="O27" s="443" t="n"/>
      <c r="P27" s="443" t="n"/>
      <c r="R27" s="450" t="n"/>
      <c r="S27" s="443" t="n"/>
      <c r="T27" s="443" t="n"/>
      <c r="U27" s="443" t="n"/>
      <c r="V27" s="463" t="n"/>
      <c r="W27" s="443" t="n"/>
      <c r="X27" s="443" t="n"/>
      <c r="Y27" s="450" t="n"/>
      <c r="AB27" s="443" t="n"/>
      <c r="AF27" s="450" t="n"/>
      <c r="AH27" s="450" t="n"/>
      <c r="AI27" s="443" t="n"/>
      <c r="AK27" s="443" t="n"/>
      <c r="AM27" s="450" t="n"/>
      <c r="AN27" s="450" t="n"/>
      <c r="AP27" s="398" t="n"/>
      <c r="AQ27" s="286" t="n"/>
      <c r="AR27" s="450" t="n"/>
      <c r="AT27" s="450" t="n"/>
      <c r="AV27" s="450" t="n"/>
    </row>
    <row r="28">
      <c r="O28" s="443" t="n"/>
      <c r="P28" s="443" t="n"/>
      <c r="R28" s="450" t="n"/>
      <c r="S28" s="443" t="n"/>
      <c r="T28" s="443" t="n"/>
      <c r="U28" s="443" t="n"/>
      <c r="V28" s="463" t="n"/>
      <c r="W28" s="443" t="n"/>
      <c r="X28" s="443" t="n"/>
      <c r="Y28" s="450" t="n"/>
      <c r="AB28" s="443" t="n"/>
      <c r="AF28" s="450" t="n"/>
      <c r="AH28" s="450" t="n"/>
      <c r="AI28" s="443" t="n"/>
      <c r="AK28" s="443" t="n"/>
      <c r="AM28" s="450" t="n"/>
      <c r="AN28" s="450" t="n"/>
      <c r="AP28" s="398" t="n"/>
      <c r="AQ28" s="286" t="n"/>
      <c r="AR28" s="450" t="n"/>
      <c r="AT28" s="450" t="n"/>
      <c r="AV28" s="450" t="n"/>
    </row>
    <row r="29">
      <c r="O29" s="443" t="n"/>
      <c r="P29" s="443" t="n"/>
      <c r="R29" s="450" t="n"/>
      <c r="S29" s="443" t="n"/>
      <c r="T29" s="443" t="n"/>
      <c r="U29" s="443" t="n"/>
      <c r="V29" s="463" t="n"/>
      <c r="W29" s="443" t="n"/>
      <c r="X29" s="443" t="n"/>
      <c r="Y29" s="450" t="n"/>
      <c r="AB29" s="443" t="n"/>
      <c r="AF29" s="450" t="n"/>
      <c r="AH29" s="450" t="n"/>
      <c r="AI29" s="443" t="n"/>
      <c r="AK29" s="443" t="n"/>
      <c r="AM29" s="450" t="n"/>
      <c r="AN29" s="450" t="n"/>
      <c r="AP29" s="398" t="n"/>
      <c r="AQ29" s="286" t="n"/>
      <c r="AR29" s="450" t="n"/>
      <c r="AT29" s="450" t="n"/>
      <c r="AV29" s="450" t="n"/>
    </row>
    <row r="30">
      <c r="O30" s="443" t="n"/>
      <c r="P30" s="443" t="n"/>
      <c r="R30" s="450" t="n"/>
      <c r="S30" s="443" t="n"/>
      <c r="T30" s="443" t="n"/>
      <c r="U30" s="443" t="n"/>
      <c r="V30" s="463" t="n"/>
      <c r="W30" s="443" t="n"/>
      <c r="X30" s="443" t="n"/>
      <c r="Y30" s="450" t="n"/>
      <c r="AB30" s="443" t="n"/>
      <c r="AF30" s="450" t="n"/>
      <c r="AH30" s="450" t="n"/>
      <c r="AI30" s="443" t="n"/>
      <c r="AK30" s="443" t="n"/>
      <c r="AM30" s="450" t="n"/>
      <c r="AN30" s="450" t="n"/>
      <c r="AP30" s="398" t="n"/>
      <c r="AQ30" s="286" t="n"/>
      <c r="AR30" s="450" t="n"/>
      <c r="AT30" s="450" t="n"/>
      <c r="AV30" s="450" t="n"/>
    </row>
    <row r="31">
      <c r="O31" s="443" t="n"/>
      <c r="P31" s="443" t="n"/>
      <c r="R31" s="450" t="n"/>
      <c r="S31" s="443" t="n"/>
      <c r="T31" s="443" t="n"/>
      <c r="U31" s="443" t="n"/>
      <c r="V31" s="463" t="n"/>
      <c r="W31" s="443" t="n"/>
      <c r="X31" s="443" t="n"/>
      <c r="Y31" s="450" t="n"/>
      <c r="AB31" s="443" t="n"/>
      <c r="AF31" s="450" t="n"/>
      <c r="AH31" s="450" t="n"/>
      <c r="AI31" s="443" t="n"/>
      <c r="AK31" s="443" t="n"/>
      <c r="AM31" s="450" t="n"/>
      <c r="AN31" s="450" t="n"/>
      <c r="AP31" s="398" t="n"/>
      <c r="AQ31" s="286" t="n"/>
      <c r="AR31" s="450" t="n"/>
      <c r="AT31" s="450" t="n"/>
      <c r="AV31" s="450" t="n"/>
    </row>
    <row r="32">
      <c r="O32" s="443" t="n"/>
      <c r="P32" s="443" t="n"/>
      <c r="R32" s="450" t="n"/>
      <c r="S32" s="443" t="n"/>
      <c r="T32" s="443" t="n"/>
      <c r="U32" s="443" t="n"/>
      <c r="V32" s="463" t="n"/>
      <c r="W32" s="443" t="n"/>
      <c r="X32" s="443" t="n"/>
      <c r="Y32" s="450" t="n"/>
      <c r="AB32" s="443" t="n"/>
      <c r="AF32" s="450" t="n"/>
      <c r="AH32" s="450" t="n"/>
      <c r="AI32" s="443" t="n"/>
      <c r="AK32" s="443" t="n"/>
      <c r="AM32" s="450" t="n"/>
      <c r="AN32" s="450" t="n"/>
      <c r="AP32" s="398" t="n"/>
      <c r="AQ32" s="286" t="n"/>
      <c r="AR32" s="450" t="n"/>
      <c r="AT32" s="450" t="n"/>
      <c r="AV32" s="450" t="n"/>
    </row>
    <row r="33">
      <c r="O33" s="443" t="n"/>
      <c r="P33" s="443" t="n"/>
      <c r="R33" s="450" t="n"/>
      <c r="S33" s="443" t="n"/>
      <c r="T33" s="443" t="n"/>
      <c r="U33" s="443" t="n"/>
      <c r="V33" s="463" t="n"/>
      <c r="W33" s="443" t="n"/>
      <c r="X33" s="443" t="n"/>
      <c r="Y33" s="450" t="n"/>
      <c r="AB33" s="443" t="n"/>
      <c r="AF33" s="450" t="n"/>
      <c r="AH33" s="450" t="n"/>
      <c r="AI33" s="443" t="n"/>
      <c r="AK33" s="443" t="n"/>
      <c r="AM33" s="450" t="n"/>
      <c r="AN33" s="450" t="n"/>
      <c r="AP33" s="398" t="n"/>
      <c r="AQ33" s="286" t="n"/>
      <c r="AR33" s="450" t="n"/>
      <c r="AT33" s="450" t="n"/>
      <c r="AV33" s="450" t="n"/>
    </row>
    <row r="34">
      <c r="O34" s="443" t="n"/>
      <c r="P34" s="443" t="n"/>
      <c r="R34" s="450" t="n"/>
      <c r="S34" s="443" t="n"/>
      <c r="T34" s="443" t="n"/>
      <c r="U34" s="443" t="n"/>
      <c r="V34" s="463" t="n"/>
      <c r="W34" s="443" t="n"/>
      <c r="X34" s="443" t="n"/>
      <c r="Y34" s="450" t="n"/>
      <c r="AB34" s="443" t="n"/>
      <c r="AF34" s="450" t="n"/>
      <c r="AH34" s="450" t="n"/>
      <c r="AI34" s="443" t="n"/>
      <c r="AK34" s="443" t="n"/>
      <c r="AM34" s="450" t="n"/>
      <c r="AN34" s="450" t="n"/>
      <c r="AP34" s="398" t="n"/>
      <c r="AQ34" s="286" t="n"/>
      <c r="AR34" s="450" t="n"/>
      <c r="AT34" s="450" t="n"/>
      <c r="AV34" s="450" t="n"/>
    </row>
    <row r="35">
      <c r="O35" s="443" t="n"/>
      <c r="P35" s="443" t="n"/>
      <c r="R35" s="450" t="n"/>
      <c r="S35" s="443" t="n"/>
      <c r="T35" s="443" t="n"/>
      <c r="U35" s="443" t="n"/>
      <c r="V35" s="463" t="n"/>
      <c r="W35" s="443" t="n"/>
      <c r="X35" s="443" t="n"/>
      <c r="Y35" s="450" t="n"/>
      <c r="AB35" s="443" t="n"/>
      <c r="AF35" s="450" t="n"/>
      <c r="AH35" s="450" t="n"/>
      <c r="AI35" s="443" t="n"/>
      <c r="AK35" s="443" t="n"/>
      <c r="AM35" s="450" t="n"/>
      <c r="AN35" s="450" t="n"/>
      <c r="AP35" s="398" t="n"/>
      <c r="AQ35" s="286" t="n"/>
      <c r="AR35" s="450" t="n"/>
      <c r="AT35" s="450" t="n"/>
      <c r="AV35" s="450" t="n"/>
    </row>
    <row r="36">
      <c r="O36" s="443" t="n"/>
      <c r="P36" s="443" t="n"/>
      <c r="R36" s="450" t="n"/>
      <c r="S36" s="443" t="n"/>
      <c r="T36" s="443" t="n"/>
      <c r="U36" s="443" t="n"/>
      <c r="V36" s="463" t="n"/>
      <c r="W36" s="443" t="n"/>
      <c r="X36" s="443" t="n"/>
      <c r="Y36" s="450" t="n"/>
      <c r="AB36" s="443" t="n"/>
      <c r="AF36" s="450" t="n"/>
      <c r="AH36" s="450" t="n"/>
      <c r="AI36" s="443" t="n"/>
      <c r="AK36" s="443" t="n"/>
      <c r="AM36" s="450" t="n"/>
      <c r="AN36" s="450" t="n"/>
      <c r="AP36" s="398" t="n"/>
      <c r="AQ36" s="286" t="n"/>
      <c r="AR36" s="450" t="n"/>
      <c r="AT36" s="450" t="n"/>
      <c r="AV36" s="450" t="n"/>
    </row>
    <row r="37">
      <c r="O37" s="443" t="n"/>
      <c r="P37" s="443" t="n"/>
      <c r="R37" s="450" t="n"/>
      <c r="S37" s="443" t="n"/>
      <c r="T37" s="443" t="n"/>
      <c r="U37" s="443" t="n"/>
      <c r="V37" s="463" t="n"/>
      <c r="W37" s="443" t="n"/>
      <c r="X37" s="443" t="n"/>
      <c r="Y37" s="450" t="n"/>
      <c r="AB37" s="443" t="n"/>
      <c r="AF37" s="450" t="n"/>
      <c r="AH37" s="450" t="n"/>
      <c r="AI37" s="443" t="n"/>
      <c r="AK37" s="443" t="n"/>
      <c r="AM37" s="450" t="n"/>
      <c r="AN37" s="450" t="n"/>
      <c r="AP37" s="398" t="n"/>
      <c r="AQ37" s="286" t="n"/>
      <c r="AR37" s="450" t="n"/>
      <c r="AT37" s="450" t="n"/>
      <c r="AV37" s="450" t="n"/>
    </row>
    <row r="38">
      <c r="O38" s="443" t="n"/>
      <c r="P38" s="443" t="n"/>
      <c r="R38" s="450" t="n"/>
      <c r="S38" s="443" t="n"/>
      <c r="T38" s="443" t="n"/>
      <c r="U38" s="443" t="n"/>
      <c r="V38" s="463" t="n"/>
      <c r="W38" s="443" t="n"/>
      <c r="X38" s="443" t="n"/>
      <c r="Y38" s="450" t="n"/>
      <c r="AB38" s="443" t="n"/>
      <c r="AF38" s="450" t="n"/>
      <c r="AH38" s="450" t="n"/>
      <c r="AI38" s="443" t="n"/>
      <c r="AK38" s="443" t="n"/>
      <c r="AM38" s="450" t="n"/>
      <c r="AN38" s="450" t="n"/>
      <c r="AP38" s="398" t="n"/>
      <c r="AQ38" s="286" t="n"/>
      <c r="AR38" s="450" t="n"/>
      <c r="AT38" s="450" t="n"/>
      <c r="AV38" s="450" t="n"/>
    </row>
    <row r="39">
      <c r="O39" s="443" t="n"/>
      <c r="P39" s="443" t="n"/>
      <c r="R39" s="450" t="n"/>
      <c r="S39" s="443" t="n"/>
      <c r="T39" s="443" t="n"/>
      <c r="U39" s="443" t="n"/>
      <c r="V39" s="463" t="n"/>
      <c r="W39" s="443" t="n"/>
      <c r="X39" s="443" t="n"/>
      <c r="Y39" s="450" t="n"/>
      <c r="AB39" s="443" t="n"/>
      <c r="AF39" s="450" t="n"/>
      <c r="AH39" s="450" t="n"/>
      <c r="AI39" s="443" t="n"/>
      <c r="AK39" s="443" t="n"/>
      <c r="AM39" s="450" t="n"/>
      <c r="AN39" s="450" t="n"/>
      <c r="AP39" s="398" t="n"/>
      <c r="AQ39" s="286" t="n"/>
      <c r="AR39" s="450" t="n"/>
      <c r="AT39" s="450" t="n"/>
      <c r="AV39" s="450" t="n"/>
    </row>
    <row r="40">
      <c r="O40" s="443" t="n"/>
      <c r="P40" s="443" t="n"/>
      <c r="R40" s="450" t="n"/>
      <c r="S40" s="443" t="n"/>
      <c r="T40" s="443" t="n"/>
      <c r="U40" s="443" t="n"/>
      <c r="V40" s="463" t="n"/>
      <c r="W40" s="443" t="n"/>
      <c r="X40" s="443" t="n"/>
      <c r="Y40" s="450" t="n"/>
      <c r="AB40" s="443" t="n"/>
      <c r="AF40" s="450" t="n"/>
      <c r="AH40" s="450" t="n"/>
      <c r="AI40" s="443" t="n"/>
      <c r="AK40" s="443" t="n"/>
      <c r="AM40" s="450" t="n"/>
      <c r="AN40" s="450" t="n"/>
      <c r="AP40" s="398" t="n"/>
      <c r="AQ40" s="286" t="n"/>
      <c r="AR40" s="450" t="n"/>
      <c r="AT40" s="450" t="n"/>
      <c r="AV40" s="450" t="n"/>
    </row>
    <row r="41">
      <c r="O41" s="443" t="n"/>
      <c r="P41" s="443" t="n"/>
      <c r="R41" s="450" t="n"/>
      <c r="S41" s="443" t="n"/>
      <c r="T41" s="443" t="n"/>
      <c r="U41" s="443" t="n"/>
      <c r="V41" s="463" t="n"/>
      <c r="W41" s="443" t="n"/>
      <c r="X41" s="443" t="n"/>
      <c r="Y41" s="450" t="n"/>
      <c r="AB41" s="443" t="n"/>
      <c r="AF41" s="450" t="n"/>
      <c r="AH41" s="450" t="n"/>
      <c r="AI41" s="443" t="n"/>
      <c r="AK41" s="443" t="n"/>
      <c r="AM41" s="450" t="n"/>
      <c r="AN41" s="450" t="n"/>
      <c r="AP41" s="398" t="n"/>
      <c r="AQ41" s="286" t="n"/>
      <c r="AR41" s="450" t="n"/>
      <c r="AT41" s="450" t="n"/>
      <c r="AV41" s="450" t="n"/>
    </row>
    <row r="42">
      <c r="O42" s="443" t="n"/>
      <c r="P42" s="443" t="n"/>
      <c r="R42" s="450" t="n"/>
      <c r="S42" s="443" t="n"/>
      <c r="T42" s="443" t="n"/>
      <c r="U42" s="443" t="n"/>
      <c r="V42" s="463" t="n"/>
      <c r="W42" s="443" t="n"/>
      <c r="X42" s="443" t="n"/>
      <c r="Y42" s="450" t="n"/>
      <c r="AB42" s="443" t="n"/>
      <c r="AF42" s="450" t="n"/>
      <c r="AH42" s="450" t="n"/>
      <c r="AI42" s="443" t="n"/>
      <c r="AK42" s="443" t="n"/>
      <c r="AM42" s="450" t="n"/>
      <c r="AN42" s="450" t="n"/>
      <c r="AP42" s="398" t="n"/>
      <c r="AQ42" s="286" t="n"/>
      <c r="AR42" s="450" t="n"/>
      <c r="AT42" s="450" t="n"/>
      <c r="AV42" s="450" t="n"/>
    </row>
    <row r="43">
      <c r="O43" s="443" t="n"/>
      <c r="P43" s="443" t="n"/>
      <c r="R43" s="450" t="n"/>
      <c r="S43" s="443" t="n"/>
      <c r="T43" s="443" t="n"/>
      <c r="U43" s="443" t="n"/>
      <c r="V43" s="463" t="n"/>
      <c r="W43" s="443" t="n"/>
      <c r="X43" s="443" t="n"/>
      <c r="Y43" s="450" t="n"/>
      <c r="AB43" s="443" t="n"/>
      <c r="AF43" s="450" t="n"/>
      <c r="AH43" s="450" t="n"/>
      <c r="AI43" s="443" t="n"/>
      <c r="AK43" s="443" t="n"/>
      <c r="AM43" s="450" t="n"/>
      <c r="AN43" s="450" t="n"/>
      <c r="AP43" s="398" t="n"/>
      <c r="AQ43" s="286" t="n"/>
      <c r="AR43" s="450" t="n"/>
      <c r="AT43" s="450" t="n"/>
      <c r="AV43" s="450" t="n"/>
    </row>
    <row r="44">
      <c r="O44" s="443" t="n"/>
      <c r="P44" s="443" t="n"/>
      <c r="R44" s="450" t="n"/>
      <c r="S44" s="443" t="n"/>
      <c r="T44" s="443" t="n"/>
      <c r="U44" s="443" t="n"/>
      <c r="V44" s="463" t="n"/>
      <c r="W44" s="443" t="n"/>
      <c r="X44" s="443" t="n"/>
      <c r="Y44" s="450" t="n"/>
      <c r="AB44" s="443" t="n"/>
      <c r="AF44" s="450" t="n"/>
      <c r="AH44" s="450" t="n"/>
      <c r="AI44" s="443" t="n"/>
      <c r="AK44" s="443" t="n"/>
      <c r="AM44" s="450" t="n"/>
      <c r="AN44" s="450" t="n"/>
      <c r="AP44" s="398" t="n"/>
      <c r="AQ44" s="286" t="n"/>
      <c r="AR44" s="450" t="n"/>
      <c r="AT44" s="450" t="n"/>
      <c r="AV44" s="450" t="n"/>
    </row>
    <row r="45">
      <c r="O45" s="443" t="n"/>
      <c r="P45" s="443" t="n"/>
      <c r="R45" s="450" t="n"/>
      <c r="S45" s="443" t="n"/>
      <c r="T45" s="443" t="n"/>
      <c r="U45" s="443" t="n"/>
      <c r="V45" s="463" t="n"/>
      <c r="W45" s="443" t="n"/>
      <c r="X45" s="443" t="n"/>
      <c r="Y45" s="450" t="n"/>
      <c r="AB45" s="443" t="n"/>
      <c r="AF45" s="450" t="n"/>
      <c r="AH45" s="450" t="n"/>
      <c r="AI45" s="443" t="n"/>
      <c r="AK45" s="443" t="n"/>
      <c r="AM45" s="450" t="n"/>
      <c r="AN45" s="450" t="n"/>
      <c r="AP45" s="398" t="n"/>
      <c r="AQ45" s="286" t="n"/>
      <c r="AR45" s="450" t="n"/>
      <c r="AT45" s="450" t="n"/>
      <c r="AV45" s="450" t="n"/>
    </row>
    <row r="46">
      <c r="O46" s="443" t="n"/>
      <c r="P46" s="443" t="n"/>
      <c r="R46" s="450" t="n"/>
      <c r="S46" s="443" t="n"/>
      <c r="T46" s="443" t="n"/>
      <c r="U46" s="443" t="n"/>
      <c r="V46" s="463" t="n"/>
      <c r="W46" s="443" t="n"/>
      <c r="X46" s="443" t="n"/>
      <c r="Y46" s="450" t="n"/>
      <c r="AB46" s="443" t="n"/>
      <c r="AF46" s="450" t="n"/>
      <c r="AH46" s="450" t="n"/>
      <c r="AI46" s="443" t="n"/>
      <c r="AK46" s="443" t="n"/>
      <c r="AM46" s="450" t="n"/>
      <c r="AN46" s="450" t="n"/>
      <c r="AP46" s="398" t="n"/>
      <c r="AQ46" s="286" t="n"/>
      <c r="AR46" s="450" t="n"/>
      <c r="AT46" s="450" t="n"/>
      <c r="AV46" s="450" t="n"/>
    </row>
    <row r="47">
      <c r="O47" s="443" t="n"/>
      <c r="P47" s="443" t="n"/>
      <c r="R47" s="450" t="n"/>
      <c r="S47" s="443" t="n"/>
      <c r="T47" s="443" t="n"/>
      <c r="U47" s="443" t="n"/>
      <c r="V47" s="463" t="n"/>
      <c r="W47" s="443" t="n"/>
      <c r="X47" s="443" t="n"/>
      <c r="Y47" s="450" t="n"/>
      <c r="AB47" s="443" t="n"/>
      <c r="AF47" s="450" t="n"/>
      <c r="AH47" s="450" t="n"/>
      <c r="AI47" s="443" t="n"/>
      <c r="AK47" s="443" t="n"/>
      <c r="AM47" s="450" t="n"/>
      <c r="AN47" s="450" t="n"/>
      <c r="AP47" s="398" t="n"/>
      <c r="AQ47" s="286" t="n"/>
      <c r="AR47" s="450" t="n"/>
      <c r="AT47" s="450" t="n"/>
      <c r="AV47" s="450" t="n"/>
    </row>
    <row r="48">
      <c r="O48" s="443" t="n"/>
      <c r="P48" s="443" t="n"/>
      <c r="R48" s="450" t="n"/>
      <c r="S48" s="443" t="n"/>
      <c r="T48" s="443" t="n"/>
      <c r="U48" s="443" t="n"/>
      <c r="V48" s="463" t="n"/>
      <c r="W48" s="443" t="n"/>
      <c r="X48" s="443" t="n"/>
      <c r="Y48" s="450" t="n"/>
      <c r="AB48" s="443" t="n"/>
      <c r="AF48" s="450" t="n"/>
      <c r="AH48" s="450" t="n"/>
      <c r="AI48" s="443" t="n"/>
      <c r="AK48" s="443" t="n"/>
      <c r="AM48" s="450" t="n"/>
      <c r="AN48" s="450" t="n"/>
      <c r="AP48" s="398" t="n"/>
      <c r="AQ48" s="286" t="n"/>
      <c r="AR48" s="450" t="n"/>
      <c r="AT48" s="450" t="n"/>
      <c r="AV48" s="450" t="n"/>
    </row>
    <row r="49">
      <c r="O49" s="443" t="n"/>
      <c r="P49" s="443" t="n"/>
      <c r="R49" s="450" t="n"/>
      <c r="S49" s="443" t="n"/>
      <c r="T49" s="443" t="n"/>
      <c r="U49" s="443" t="n"/>
      <c r="V49" s="463" t="n"/>
      <c r="W49" s="443" t="n"/>
      <c r="X49" s="443" t="n"/>
      <c r="Y49" s="450" t="n"/>
      <c r="AB49" s="443" t="n"/>
      <c r="AF49" s="450" t="n"/>
      <c r="AH49" s="450" t="n"/>
      <c r="AI49" s="443" t="n"/>
      <c r="AK49" s="443" t="n"/>
      <c r="AM49" s="450" t="n"/>
      <c r="AN49" s="450" t="n"/>
      <c r="AP49" s="398" t="n"/>
      <c r="AQ49" s="286" t="n"/>
      <c r="AR49" s="450" t="n"/>
      <c r="AT49" s="450" t="n"/>
      <c r="AV49" s="450" t="n"/>
    </row>
    <row r="50">
      <c r="O50" s="443" t="n"/>
      <c r="P50" s="443" t="n"/>
      <c r="R50" s="450" t="n"/>
      <c r="S50" s="443" t="n"/>
      <c r="T50" s="443" t="n"/>
      <c r="U50" s="443" t="n"/>
      <c r="V50" s="463" t="n"/>
      <c r="W50" s="443" t="n"/>
      <c r="X50" s="443" t="n"/>
      <c r="Y50" s="450" t="n"/>
      <c r="AB50" s="443" t="n"/>
      <c r="AF50" s="450" t="n"/>
      <c r="AH50" s="450" t="n"/>
      <c r="AI50" s="443" t="n"/>
      <c r="AK50" s="443" t="n"/>
      <c r="AM50" s="450" t="n"/>
      <c r="AN50" s="450" t="n"/>
      <c r="AP50" s="398" t="n"/>
      <c r="AQ50" s="286" t="n"/>
      <c r="AR50" s="450" t="n"/>
      <c r="AT50" s="450" t="n"/>
      <c r="AV50" s="450" t="n"/>
    </row>
    <row r="51">
      <c r="O51" s="443" t="n"/>
      <c r="P51" s="443" t="n"/>
      <c r="R51" s="450" t="n"/>
      <c r="S51" s="443" t="n"/>
      <c r="T51" s="443" t="n"/>
      <c r="U51" s="443" t="n"/>
      <c r="V51" s="463" t="n"/>
      <c r="W51" s="443" t="n"/>
      <c r="X51" s="443" t="n"/>
      <c r="Y51" s="450" t="n"/>
      <c r="AB51" s="443" t="n"/>
      <c r="AF51" s="450" t="n"/>
      <c r="AH51" s="450" t="n"/>
      <c r="AI51" s="443" t="n"/>
      <c r="AK51" s="443" t="n"/>
      <c r="AM51" s="450" t="n"/>
      <c r="AN51" s="450" t="n"/>
      <c r="AP51" s="398" t="n"/>
      <c r="AQ51" s="286" t="n"/>
      <c r="AR51" s="450" t="n"/>
      <c r="AT51" s="450" t="n"/>
      <c r="AV51" s="450" t="n"/>
    </row>
    <row r="52">
      <c r="O52" s="443" t="n"/>
      <c r="P52" s="443" t="n"/>
      <c r="R52" s="450" t="n"/>
      <c r="S52" s="443" t="n"/>
      <c r="T52" s="443" t="n"/>
      <c r="U52" s="443" t="n"/>
      <c r="V52" s="463" t="n"/>
      <c r="W52" s="443" t="n"/>
      <c r="X52" s="443" t="n"/>
      <c r="Y52" s="450" t="n"/>
      <c r="AB52" s="443" t="n"/>
      <c r="AF52" s="450" t="n"/>
      <c r="AH52" s="450" t="n"/>
      <c r="AI52" s="443" t="n"/>
      <c r="AK52" s="443" t="n"/>
      <c r="AM52" s="450" t="n"/>
      <c r="AN52" s="450" t="n"/>
      <c r="AP52" s="398" t="n"/>
      <c r="AQ52" s="286" t="n"/>
      <c r="AR52" s="450" t="n"/>
      <c r="AT52" s="450" t="n"/>
      <c r="AV52" s="450" t="n"/>
    </row>
    <row r="53">
      <c r="O53" s="443" t="n"/>
      <c r="P53" s="443" t="n"/>
      <c r="R53" s="450" t="n"/>
      <c r="S53" s="443" t="n"/>
      <c r="T53" s="443" t="n"/>
      <c r="U53" s="443" t="n"/>
      <c r="V53" s="463" t="n"/>
      <c r="W53" s="443" t="n"/>
      <c r="X53" s="443" t="n"/>
      <c r="Y53" s="450" t="n"/>
      <c r="AB53" s="443" t="n"/>
      <c r="AF53" s="450" t="n"/>
      <c r="AH53" s="450" t="n"/>
      <c r="AI53" s="443" t="n"/>
      <c r="AK53" s="443" t="n"/>
      <c r="AM53" s="450" t="n"/>
      <c r="AN53" s="450" t="n"/>
      <c r="AP53" s="398" t="n"/>
      <c r="AQ53" s="286" t="n"/>
      <c r="AR53" s="450" t="n"/>
      <c r="AT53" s="450" t="n"/>
      <c r="AV53" s="450" t="n"/>
    </row>
    <row r="54">
      <c r="O54" s="443" t="n"/>
      <c r="P54" s="443" t="n"/>
      <c r="R54" s="450" t="n"/>
      <c r="S54" s="443" t="n"/>
      <c r="T54" s="443" t="n"/>
      <c r="U54" s="443" t="n"/>
      <c r="V54" s="463" t="n"/>
      <c r="W54" s="443" t="n"/>
      <c r="X54" s="443" t="n"/>
      <c r="Y54" s="450" t="n"/>
      <c r="AB54" s="443" t="n"/>
      <c r="AF54" s="450" t="n"/>
      <c r="AH54" s="450" t="n"/>
      <c r="AI54" s="443" t="n"/>
      <c r="AK54" s="443" t="n"/>
      <c r="AM54" s="450" t="n"/>
      <c r="AN54" s="450" t="n"/>
      <c r="AP54" s="398" t="n"/>
      <c r="AQ54" s="286" t="n"/>
      <c r="AR54" s="450" t="n"/>
      <c r="AT54" s="450" t="n"/>
      <c r="AV54" s="450" t="n"/>
    </row>
    <row r="55">
      <c r="O55" s="443" t="n"/>
      <c r="P55" s="443" t="n"/>
      <c r="R55" s="450" t="n"/>
      <c r="S55" s="443" t="n"/>
      <c r="T55" s="443" t="n"/>
      <c r="U55" s="443" t="n"/>
      <c r="V55" s="463" t="n"/>
      <c r="W55" s="443" t="n"/>
      <c r="X55" s="443" t="n"/>
      <c r="Y55" s="450" t="n"/>
      <c r="AB55" s="443" t="n"/>
      <c r="AF55" s="450" t="n"/>
      <c r="AH55" s="450" t="n"/>
      <c r="AI55" s="443" t="n"/>
      <c r="AK55" s="443" t="n"/>
      <c r="AM55" s="450" t="n"/>
      <c r="AN55" s="450" t="n"/>
      <c r="AP55" s="398" t="n"/>
      <c r="AQ55" s="286" t="n"/>
      <c r="AR55" s="450" t="n"/>
      <c r="AT55" s="450" t="n"/>
      <c r="AV55" s="450" t="n"/>
    </row>
    <row r="56">
      <c r="O56" s="443" t="n"/>
      <c r="P56" s="443" t="n"/>
      <c r="R56" s="450" t="n"/>
      <c r="S56" s="443" t="n"/>
      <c r="T56" s="443" t="n"/>
      <c r="U56" s="443" t="n"/>
      <c r="V56" s="463" t="n"/>
      <c r="W56" s="443" t="n"/>
      <c r="X56" s="443" t="n"/>
      <c r="Y56" s="450" t="n"/>
      <c r="AB56" s="443" t="n"/>
      <c r="AF56" s="450" t="n"/>
      <c r="AH56" s="450" t="n"/>
      <c r="AI56" s="443" t="n"/>
      <c r="AK56" s="443" t="n"/>
      <c r="AM56" s="450" t="n"/>
      <c r="AN56" s="450" t="n"/>
      <c r="AP56" s="398" t="n"/>
      <c r="AQ56" s="286" t="n"/>
      <c r="AR56" s="450" t="n"/>
      <c r="AT56" s="450" t="n"/>
      <c r="AV56" s="450" t="n"/>
    </row>
    <row r="57">
      <c r="O57" s="443" t="n"/>
      <c r="P57" s="443" t="n"/>
      <c r="R57" s="450" t="n"/>
      <c r="S57" s="443" t="n"/>
      <c r="T57" s="443" t="n"/>
      <c r="U57" s="443" t="n"/>
      <c r="V57" s="463" t="n"/>
      <c r="W57" s="443" t="n"/>
      <c r="X57" s="443" t="n"/>
      <c r="Y57" s="450" t="n"/>
      <c r="AB57" s="443" t="n"/>
      <c r="AF57" s="450" t="n"/>
      <c r="AH57" s="450" t="n"/>
      <c r="AI57" s="443" t="n"/>
      <c r="AK57" s="443" t="n"/>
      <c r="AM57" s="450" t="n"/>
      <c r="AN57" s="450" t="n"/>
      <c r="AP57" s="398" t="n"/>
      <c r="AQ57" s="286" t="n"/>
      <c r="AR57" s="450" t="n"/>
      <c r="AT57" s="450" t="n"/>
      <c r="AV57" s="450" t="n"/>
    </row>
    <row r="58">
      <c r="O58" s="443" t="n"/>
      <c r="P58" s="443" t="n"/>
      <c r="R58" s="450" t="n"/>
      <c r="S58" s="443" t="n"/>
      <c r="T58" s="443" t="n"/>
      <c r="U58" s="443" t="n"/>
      <c r="V58" s="463" t="n"/>
      <c r="W58" s="443" t="n"/>
      <c r="X58" s="443" t="n"/>
      <c r="Y58" s="450" t="n"/>
      <c r="AB58" s="443" t="n"/>
      <c r="AF58" s="450" t="n"/>
      <c r="AH58" s="450" t="n"/>
      <c r="AI58" s="443" t="n"/>
      <c r="AK58" s="443" t="n"/>
      <c r="AM58" s="450" t="n"/>
      <c r="AN58" s="450" t="n"/>
      <c r="AP58" s="398" t="n"/>
      <c r="AQ58" s="286" t="n"/>
      <c r="AR58" s="450" t="n"/>
      <c r="AT58" s="450" t="n"/>
      <c r="AV58" s="450" t="n"/>
    </row>
    <row r="59">
      <c r="O59" s="443" t="n"/>
      <c r="P59" s="443" t="n"/>
      <c r="R59" s="450" t="n"/>
      <c r="S59" s="443" t="n"/>
      <c r="T59" s="443" t="n"/>
      <c r="U59" s="443" t="n"/>
      <c r="V59" s="463" t="n"/>
      <c r="W59" s="443" t="n"/>
      <c r="X59" s="443" t="n"/>
      <c r="Y59" s="450" t="n"/>
      <c r="AB59" s="443" t="n"/>
      <c r="AF59" s="450" t="n"/>
      <c r="AH59" s="450" t="n"/>
      <c r="AI59" s="443" t="n"/>
      <c r="AK59" s="443" t="n"/>
      <c r="AM59" s="450" t="n"/>
      <c r="AN59" s="450" t="n"/>
      <c r="AP59" s="398" t="n"/>
      <c r="AQ59" s="286" t="n"/>
      <c r="AR59" s="450" t="n"/>
      <c r="AT59" s="450" t="n"/>
      <c r="AV59" s="450" t="n"/>
    </row>
    <row r="60">
      <c r="O60" s="443" t="n"/>
      <c r="P60" s="443" t="n"/>
      <c r="R60" s="450" t="n"/>
      <c r="S60" s="443" t="n"/>
      <c r="T60" s="443" t="n"/>
      <c r="U60" s="443" t="n"/>
      <c r="V60" s="463" t="n"/>
      <c r="W60" s="443" t="n"/>
      <c r="X60" s="443" t="n"/>
      <c r="Y60" s="450" t="n"/>
      <c r="AB60" s="443" t="n"/>
      <c r="AF60" s="450" t="n"/>
      <c r="AH60" s="450" t="n"/>
      <c r="AI60" s="443" t="n"/>
      <c r="AK60" s="443" t="n"/>
      <c r="AM60" s="450" t="n"/>
      <c r="AN60" s="450" t="n"/>
      <c r="AP60" s="398" t="n"/>
      <c r="AQ60" s="286" t="n"/>
      <c r="AR60" s="450" t="n"/>
      <c r="AT60" s="450" t="n"/>
      <c r="AV60" s="450" t="n"/>
    </row>
    <row r="61">
      <c r="O61" s="443" t="n"/>
      <c r="P61" s="443" t="n"/>
      <c r="R61" s="450" t="n"/>
      <c r="S61" s="443" t="n"/>
      <c r="T61" s="443" t="n"/>
      <c r="U61" s="443" t="n"/>
      <c r="V61" s="463" t="n"/>
      <c r="W61" s="443" t="n"/>
      <c r="X61" s="443" t="n"/>
      <c r="Y61" s="450" t="n"/>
      <c r="AB61" s="443" t="n"/>
      <c r="AF61" s="450" t="n"/>
      <c r="AH61" s="450" t="n"/>
      <c r="AI61" s="443" t="n"/>
      <c r="AK61" s="443" t="n"/>
      <c r="AM61" s="450" t="n"/>
      <c r="AN61" s="450" t="n"/>
      <c r="AP61" s="398" t="n"/>
      <c r="AQ61" s="286" t="n"/>
      <c r="AR61" s="450" t="n"/>
      <c r="AT61" s="450" t="n"/>
      <c r="AV61" s="450" t="n"/>
    </row>
    <row r="62">
      <c r="O62" s="443" t="n"/>
      <c r="P62" s="443" t="n"/>
      <c r="R62" s="450" t="n"/>
      <c r="S62" s="443" t="n"/>
      <c r="T62" s="443" t="n"/>
      <c r="U62" s="443" t="n"/>
      <c r="V62" s="463" t="n"/>
      <c r="W62" s="443" t="n"/>
      <c r="X62" s="443" t="n"/>
      <c r="Y62" s="450" t="n"/>
      <c r="AB62" s="443" t="n"/>
      <c r="AF62" s="450" t="n"/>
      <c r="AH62" s="450" t="n"/>
      <c r="AI62" s="443" t="n"/>
      <c r="AK62" s="443" t="n"/>
      <c r="AM62" s="450" t="n"/>
      <c r="AN62" s="450" t="n"/>
      <c r="AP62" s="398" t="n"/>
      <c r="AQ62" s="286" t="n"/>
      <c r="AR62" s="450" t="n"/>
      <c r="AT62" s="450" t="n"/>
      <c r="AV62" s="450" t="n"/>
    </row>
    <row r="63">
      <c r="O63" s="443" t="n"/>
      <c r="P63" s="443" t="n"/>
      <c r="R63" s="450" t="n"/>
      <c r="S63" s="443" t="n"/>
      <c r="T63" s="443" t="n"/>
      <c r="U63" s="443" t="n"/>
      <c r="V63" s="463" t="n"/>
      <c r="W63" s="443" t="n"/>
      <c r="X63" s="443" t="n"/>
      <c r="Y63" s="450" t="n"/>
      <c r="AB63" s="443" t="n"/>
      <c r="AF63" s="450" t="n"/>
      <c r="AH63" s="450" t="n"/>
      <c r="AI63" s="443" t="n"/>
      <c r="AK63" s="443" t="n"/>
      <c r="AM63" s="450" t="n"/>
      <c r="AN63" s="450" t="n"/>
      <c r="AP63" s="398" t="n"/>
      <c r="AQ63" s="286" t="n"/>
      <c r="AR63" s="450" t="n"/>
      <c r="AT63" s="450" t="n"/>
      <c r="AV63" s="450" t="n"/>
    </row>
    <row r="64">
      <c r="O64" s="443" t="n"/>
      <c r="P64" s="443" t="n"/>
      <c r="R64" s="450" t="n"/>
      <c r="S64" s="443" t="n"/>
      <c r="T64" s="443" t="n"/>
      <c r="U64" s="443" t="n"/>
      <c r="V64" s="463" t="n"/>
      <c r="W64" s="443" t="n"/>
      <c r="X64" s="443" t="n"/>
      <c r="Y64" s="450" t="n"/>
      <c r="AB64" s="443" t="n"/>
      <c r="AF64" s="450" t="n"/>
      <c r="AH64" s="450" t="n"/>
      <c r="AI64" s="443" t="n"/>
      <c r="AK64" s="443" t="n"/>
      <c r="AM64" s="450" t="n"/>
      <c r="AN64" s="450" t="n"/>
      <c r="AP64" s="398" t="n"/>
      <c r="AQ64" s="286" t="n"/>
      <c r="AR64" s="450" t="n"/>
      <c r="AT64" s="450" t="n"/>
      <c r="AV64" s="450" t="n"/>
    </row>
    <row r="65">
      <c r="O65" s="443" t="n"/>
      <c r="P65" s="443" t="n"/>
      <c r="R65" s="450" t="n"/>
      <c r="S65" s="443" t="n"/>
      <c r="T65" s="443" t="n"/>
      <c r="U65" s="443" t="n"/>
      <c r="V65" s="463" t="n"/>
      <c r="W65" s="443" t="n"/>
      <c r="X65" s="443" t="n"/>
      <c r="Y65" s="450" t="n"/>
      <c r="AB65" s="443" t="n"/>
      <c r="AF65" s="450" t="n"/>
      <c r="AH65" s="450" t="n"/>
      <c r="AI65" s="443" t="n"/>
      <c r="AK65" s="443" t="n"/>
      <c r="AM65" s="450" t="n"/>
      <c r="AN65" s="450" t="n"/>
      <c r="AP65" s="398" t="n"/>
      <c r="AQ65" s="286" t="n"/>
      <c r="AR65" s="450" t="n"/>
      <c r="AT65" s="450" t="n"/>
      <c r="AV65" s="450" t="n"/>
    </row>
    <row r="66">
      <c r="O66" s="443" t="n"/>
      <c r="P66" s="443" t="n"/>
      <c r="R66" s="450" t="n"/>
      <c r="S66" s="443" t="n"/>
      <c r="T66" s="443" t="n"/>
      <c r="U66" s="443" t="n"/>
      <c r="V66" s="463" t="n"/>
      <c r="W66" s="443" t="n"/>
      <c r="X66" s="443" t="n"/>
      <c r="Y66" s="450" t="n"/>
      <c r="AB66" s="443" t="n"/>
      <c r="AF66" s="450" t="n"/>
      <c r="AH66" s="450" t="n"/>
      <c r="AI66" s="443" t="n"/>
      <c r="AK66" s="443" t="n"/>
      <c r="AM66" s="450" t="n"/>
      <c r="AN66" s="450" t="n"/>
      <c r="AP66" s="398" t="n"/>
      <c r="AQ66" s="286" t="n"/>
      <c r="AR66" s="450" t="n"/>
      <c r="AT66" s="450" t="n"/>
      <c r="AV66" s="450" t="n"/>
    </row>
    <row r="67">
      <c r="O67" s="443" t="n"/>
      <c r="P67" s="443" t="n"/>
      <c r="R67" s="450" t="n"/>
      <c r="S67" s="443" t="n"/>
      <c r="T67" s="443" t="n"/>
      <c r="U67" s="443" t="n"/>
      <c r="V67" s="463" t="n"/>
      <c r="W67" s="443" t="n"/>
      <c r="X67" s="443" t="n"/>
      <c r="Y67" s="450" t="n"/>
      <c r="AB67" s="443" t="n"/>
      <c r="AF67" s="450" t="n"/>
      <c r="AH67" s="450" t="n"/>
      <c r="AI67" s="443" t="n"/>
      <c r="AK67" s="443" t="n"/>
      <c r="AM67" s="450" t="n"/>
      <c r="AN67" s="450" t="n"/>
      <c r="AP67" s="398" t="n"/>
      <c r="AQ67" s="286" t="n"/>
      <c r="AR67" s="450" t="n"/>
      <c r="AT67" s="450" t="n"/>
      <c r="AV67" s="450" t="n"/>
    </row>
    <row r="68">
      <c r="O68" s="443" t="n"/>
      <c r="P68" s="443" t="n"/>
      <c r="R68" s="450" t="n"/>
      <c r="S68" s="443" t="n"/>
      <c r="T68" s="443" t="n"/>
      <c r="U68" s="443" t="n"/>
      <c r="V68" s="463" t="n"/>
      <c r="W68" s="443" t="n"/>
      <c r="X68" s="443" t="n"/>
      <c r="Y68" s="450" t="n"/>
      <c r="AB68" s="443" t="n"/>
      <c r="AF68" s="450" t="n"/>
      <c r="AH68" s="450" t="n"/>
      <c r="AI68" s="443" t="n"/>
      <c r="AK68" s="443" t="n"/>
      <c r="AM68" s="450" t="n"/>
      <c r="AN68" s="450" t="n"/>
      <c r="AP68" s="398" t="n"/>
      <c r="AQ68" s="286" t="n"/>
      <c r="AR68" s="450" t="n"/>
      <c r="AT68" s="450" t="n"/>
      <c r="AV68" s="450" t="n"/>
    </row>
    <row r="69">
      <c r="O69" s="443" t="n"/>
      <c r="P69" s="443" t="n"/>
      <c r="R69" s="450" t="n"/>
      <c r="S69" s="443" t="n"/>
      <c r="T69" s="443" t="n"/>
      <c r="U69" s="443" t="n"/>
      <c r="V69" s="463" t="n"/>
      <c r="W69" s="443" t="n"/>
      <c r="X69" s="443" t="n"/>
      <c r="Y69" s="450" t="n"/>
      <c r="AB69" s="443" t="n"/>
      <c r="AF69" s="450" t="n"/>
      <c r="AH69" s="450" t="n"/>
      <c r="AI69" s="443" t="n"/>
      <c r="AK69" s="443" t="n"/>
      <c r="AM69" s="450" t="n"/>
      <c r="AN69" s="450" t="n"/>
      <c r="AP69" s="398" t="n"/>
      <c r="AQ69" s="286" t="n"/>
      <c r="AR69" s="450" t="n"/>
      <c r="AT69" s="450" t="n"/>
      <c r="AV69" s="450" t="n"/>
    </row>
    <row r="70">
      <c r="O70" s="443" t="n"/>
      <c r="P70" s="443" t="n"/>
      <c r="R70" s="450" t="n"/>
      <c r="S70" s="443" t="n"/>
      <c r="T70" s="443" t="n"/>
      <c r="U70" s="443" t="n"/>
      <c r="V70" s="463" t="n"/>
      <c r="W70" s="443" t="n"/>
      <c r="X70" s="443" t="n"/>
      <c r="Y70" s="450" t="n"/>
      <c r="AB70" s="443" t="n"/>
      <c r="AF70" s="450" t="n"/>
      <c r="AH70" s="450" t="n"/>
      <c r="AI70" s="443" t="n"/>
      <c r="AK70" s="443" t="n"/>
      <c r="AM70" s="450" t="n"/>
      <c r="AN70" s="450" t="n"/>
      <c r="AP70" s="398" t="n"/>
      <c r="AQ70" s="286" t="n"/>
      <c r="AR70" s="450" t="n"/>
      <c r="AT70" s="450" t="n"/>
      <c r="AV70" s="450" t="n"/>
    </row>
    <row r="71">
      <c r="O71" s="443" t="n"/>
      <c r="P71" s="443" t="n"/>
      <c r="R71" s="450" t="n"/>
      <c r="S71" s="443" t="n"/>
      <c r="T71" s="443" t="n"/>
      <c r="U71" s="443" t="n"/>
      <c r="V71" s="463" t="n"/>
      <c r="W71" s="443" t="n"/>
      <c r="X71" s="443" t="n"/>
      <c r="Y71" s="450" t="n"/>
      <c r="AB71" s="443" t="n"/>
      <c r="AF71" s="450" t="n"/>
      <c r="AH71" s="450" t="n"/>
      <c r="AI71" s="443" t="n"/>
      <c r="AK71" s="443" t="n"/>
      <c r="AM71" s="450" t="n"/>
      <c r="AN71" s="450" t="n"/>
      <c r="AP71" s="398" t="n"/>
      <c r="AQ71" s="286" t="n"/>
      <c r="AR71" s="450" t="n"/>
      <c r="AT71" s="450" t="n"/>
      <c r="AV71" s="450" t="n"/>
    </row>
    <row r="72">
      <c r="O72" s="443" t="n"/>
      <c r="P72" s="443" t="n"/>
      <c r="R72" s="450" t="n"/>
      <c r="S72" s="443" t="n"/>
      <c r="T72" s="443" t="n"/>
      <c r="U72" s="443" t="n"/>
      <c r="V72" s="463" t="n"/>
      <c r="W72" s="443" t="n"/>
      <c r="X72" s="443" t="n"/>
      <c r="Y72" s="450" t="n"/>
      <c r="AB72" s="443" t="n"/>
      <c r="AF72" s="450" t="n"/>
      <c r="AH72" s="450" t="n"/>
      <c r="AI72" s="443" t="n"/>
      <c r="AK72" s="443" t="n"/>
      <c r="AM72" s="450" t="n"/>
      <c r="AN72" s="450" t="n"/>
      <c r="AP72" s="398" t="n"/>
      <c r="AQ72" s="286" t="n"/>
      <c r="AR72" s="450" t="n"/>
      <c r="AT72" s="450" t="n"/>
      <c r="AV72" s="450" t="n"/>
    </row>
    <row r="73">
      <c r="O73" s="443" t="n"/>
      <c r="P73" s="443" t="n"/>
      <c r="R73" s="450" t="n"/>
      <c r="S73" s="443" t="n"/>
      <c r="T73" s="443" t="n"/>
      <c r="U73" s="443" t="n"/>
      <c r="V73" s="463" t="n"/>
      <c r="W73" s="443" t="n"/>
      <c r="X73" s="443" t="n"/>
      <c r="Y73" s="450" t="n"/>
      <c r="AB73" s="443" t="n"/>
      <c r="AF73" s="450" t="n"/>
      <c r="AH73" s="450" t="n"/>
      <c r="AI73" s="443" t="n"/>
      <c r="AK73" s="443" t="n"/>
      <c r="AM73" s="450" t="n"/>
      <c r="AN73" s="450" t="n"/>
      <c r="AP73" s="398" t="n"/>
      <c r="AQ73" s="286" t="n"/>
      <c r="AR73" s="450" t="n"/>
      <c r="AT73" s="450" t="n"/>
      <c r="AV73" s="450" t="n"/>
    </row>
    <row r="74">
      <c r="O74" s="443" t="n"/>
      <c r="P74" s="443" t="n"/>
      <c r="R74" s="450" t="n"/>
      <c r="S74" s="443" t="n"/>
      <c r="T74" s="443" t="n"/>
      <c r="U74" s="443" t="n"/>
      <c r="V74" s="463" t="n"/>
      <c r="W74" s="443" t="n"/>
      <c r="X74" s="443" t="n"/>
      <c r="Y74" s="450" t="n"/>
      <c r="AB74" s="443" t="n"/>
      <c r="AF74" s="450" t="n"/>
      <c r="AH74" s="450" t="n"/>
      <c r="AI74" s="443" t="n"/>
      <c r="AK74" s="443" t="n"/>
      <c r="AM74" s="450" t="n"/>
      <c r="AN74" s="450" t="n"/>
      <c r="AP74" s="398" t="n"/>
      <c r="AQ74" s="286" t="n"/>
      <c r="AR74" s="450" t="n"/>
      <c r="AT74" s="450" t="n"/>
      <c r="AV74" s="450" t="n"/>
    </row>
    <row r="75">
      <c r="O75" s="443" t="n"/>
      <c r="P75" s="443" t="n"/>
      <c r="R75" s="450" t="n"/>
      <c r="S75" s="443" t="n"/>
      <c r="T75" s="443" t="n"/>
      <c r="U75" s="443" t="n"/>
      <c r="V75" s="463" t="n"/>
      <c r="W75" s="443" t="n"/>
      <c r="X75" s="443" t="n"/>
      <c r="Y75" s="450" t="n"/>
      <c r="AB75" s="443" t="n"/>
      <c r="AF75" s="450" t="n"/>
      <c r="AH75" s="450" t="n"/>
      <c r="AI75" s="443" t="n"/>
      <c r="AK75" s="443" t="n"/>
      <c r="AM75" s="450" t="n"/>
      <c r="AN75" s="450" t="n"/>
      <c r="AP75" s="398" t="n"/>
      <c r="AQ75" s="286" t="n"/>
      <c r="AR75" s="450" t="n"/>
      <c r="AT75" s="450" t="n"/>
      <c r="AV75" s="450" t="n"/>
    </row>
    <row r="76">
      <c r="O76" s="443" t="n"/>
      <c r="P76" s="443" t="n"/>
      <c r="R76" s="450" t="n"/>
      <c r="S76" s="443" t="n"/>
      <c r="T76" s="443" t="n"/>
      <c r="U76" s="443" t="n"/>
      <c r="V76" s="463" t="n"/>
      <c r="W76" s="443" t="n"/>
      <c r="X76" s="443" t="n"/>
      <c r="Y76" s="450" t="n"/>
      <c r="AB76" s="443" t="n"/>
      <c r="AF76" s="450" t="n"/>
      <c r="AH76" s="450" t="n"/>
      <c r="AI76" s="443" t="n"/>
      <c r="AK76" s="443" t="n"/>
      <c r="AM76" s="450" t="n"/>
      <c r="AN76" s="450" t="n"/>
      <c r="AP76" s="398" t="n"/>
      <c r="AQ76" s="286" t="n"/>
      <c r="AR76" s="450" t="n"/>
      <c r="AT76" s="450" t="n"/>
      <c r="AV76" s="450" t="n"/>
    </row>
    <row r="77">
      <c r="O77" s="443" t="n"/>
      <c r="P77" s="443" t="n"/>
      <c r="R77" s="450" t="n"/>
      <c r="S77" s="443" t="n"/>
      <c r="T77" s="443" t="n"/>
      <c r="U77" s="443" t="n"/>
      <c r="V77" s="463" t="n"/>
      <c r="W77" s="443" t="n"/>
      <c r="X77" s="443" t="n"/>
      <c r="Y77" s="450" t="n"/>
      <c r="AB77" s="443" t="n"/>
      <c r="AF77" s="450" t="n"/>
      <c r="AH77" s="450" t="n"/>
      <c r="AI77" s="443" t="n"/>
      <c r="AK77" s="443" t="n"/>
      <c r="AM77" s="450" t="n"/>
      <c r="AN77" s="450" t="n"/>
      <c r="AP77" s="398" t="n"/>
      <c r="AQ77" s="286" t="n"/>
      <c r="AR77" s="450" t="n"/>
      <c r="AT77" s="450" t="n"/>
      <c r="AV77" s="450" t="n"/>
    </row>
    <row r="78">
      <c r="O78" s="443" t="n"/>
      <c r="P78" s="443" t="n"/>
      <c r="R78" s="450" t="n"/>
      <c r="S78" s="443" t="n"/>
      <c r="T78" s="443" t="n"/>
      <c r="U78" s="443" t="n"/>
      <c r="V78" s="463" t="n"/>
      <c r="W78" s="443" t="n"/>
      <c r="X78" s="443" t="n"/>
      <c r="Y78" s="450" t="n"/>
      <c r="AB78" s="443" t="n"/>
      <c r="AF78" s="450" t="n"/>
      <c r="AH78" s="450" t="n"/>
      <c r="AI78" s="443" t="n"/>
      <c r="AK78" s="443" t="n"/>
      <c r="AM78" s="450" t="n"/>
      <c r="AN78" s="450" t="n"/>
      <c r="AP78" s="398" t="n"/>
      <c r="AQ78" s="286" t="n"/>
      <c r="AR78" s="450" t="n"/>
      <c r="AT78" s="450" t="n"/>
      <c r="AV78" s="450" t="n"/>
    </row>
    <row r="79">
      <c r="O79" s="443" t="n"/>
      <c r="P79" s="443" t="n"/>
      <c r="R79" s="450" t="n"/>
      <c r="S79" s="443" t="n"/>
      <c r="T79" s="443" t="n"/>
      <c r="U79" s="443" t="n"/>
      <c r="V79" s="463" t="n"/>
      <c r="W79" s="443" t="n"/>
      <c r="X79" s="443" t="n"/>
      <c r="Y79" s="450" t="n"/>
      <c r="AB79" s="443" t="n"/>
      <c r="AF79" s="450" t="n"/>
      <c r="AH79" s="450" t="n"/>
      <c r="AI79" s="443" t="n"/>
      <c r="AK79" s="443" t="n"/>
      <c r="AM79" s="450" t="n"/>
      <c r="AN79" s="450" t="n"/>
      <c r="AP79" s="398" t="n"/>
      <c r="AQ79" s="286" t="n"/>
      <c r="AR79" s="450" t="n"/>
      <c r="AT79" s="450" t="n"/>
      <c r="AV79" s="450" t="n"/>
    </row>
    <row r="80">
      <c r="O80" s="443" t="n"/>
      <c r="P80" s="443" t="n"/>
      <c r="R80" s="450" t="n"/>
      <c r="S80" s="443" t="n"/>
      <c r="T80" s="443" t="n"/>
      <c r="U80" s="443" t="n"/>
      <c r="V80" s="463" t="n"/>
      <c r="W80" s="443" t="n"/>
      <c r="X80" s="443" t="n"/>
      <c r="Y80" s="450" t="n"/>
      <c r="AB80" s="443" t="n"/>
      <c r="AF80" s="450" t="n"/>
      <c r="AH80" s="450" t="n"/>
      <c r="AI80" s="443" t="n"/>
      <c r="AK80" s="443" t="n"/>
      <c r="AM80" s="450" t="n"/>
      <c r="AN80" s="450" t="n"/>
      <c r="AP80" s="398" t="n"/>
      <c r="AQ80" s="286" t="n"/>
      <c r="AR80" s="450" t="n"/>
      <c r="AT80" s="450" t="n"/>
      <c r="AV80" s="450" t="n"/>
    </row>
    <row r="81">
      <c r="O81" s="443" t="n"/>
      <c r="P81" s="443" t="n"/>
      <c r="R81" s="450" t="n"/>
      <c r="S81" s="443" t="n"/>
      <c r="T81" s="443" t="n"/>
      <c r="U81" s="443" t="n"/>
      <c r="V81" s="463" t="n"/>
      <c r="W81" s="443" t="n"/>
      <c r="X81" s="443" t="n"/>
      <c r="Y81" s="450" t="n"/>
      <c r="AB81" s="443" t="n"/>
      <c r="AF81" s="450" t="n"/>
      <c r="AH81" s="450" t="n"/>
      <c r="AI81" s="443" t="n"/>
      <c r="AK81" s="443" t="n"/>
      <c r="AM81" s="450" t="n"/>
      <c r="AN81" s="450" t="n"/>
      <c r="AP81" s="398" t="n"/>
      <c r="AQ81" s="286" t="n"/>
      <c r="AR81" s="450" t="n"/>
      <c r="AT81" s="450" t="n"/>
      <c r="AV81" s="450" t="n"/>
    </row>
    <row r="82">
      <c r="O82" s="443" t="n"/>
      <c r="P82" s="443" t="n"/>
      <c r="R82" s="450" t="n"/>
      <c r="S82" s="443" t="n"/>
      <c r="T82" s="443" t="n"/>
      <c r="U82" s="443" t="n"/>
      <c r="V82" s="463" t="n"/>
      <c r="W82" s="443" t="n"/>
      <c r="X82" s="443" t="n"/>
      <c r="Y82" s="450" t="n"/>
      <c r="AB82" s="443" t="n"/>
      <c r="AF82" s="450" t="n"/>
      <c r="AH82" s="450" t="n"/>
      <c r="AI82" s="443" t="n"/>
      <c r="AK82" s="443" t="n"/>
      <c r="AM82" s="450" t="n"/>
      <c r="AN82" s="450" t="n"/>
      <c r="AP82" s="398" t="n"/>
      <c r="AQ82" s="286" t="n"/>
      <c r="AR82" s="450" t="n"/>
      <c r="AT82" s="450" t="n"/>
      <c r="AV82" s="450" t="n"/>
    </row>
    <row r="83">
      <c r="O83" s="443" t="n"/>
      <c r="P83" s="443" t="n"/>
      <c r="R83" s="450" t="n"/>
      <c r="S83" s="443" t="n"/>
      <c r="T83" s="443" t="n"/>
      <c r="U83" s="443" t="n"/>
      <c r="V83" s="463" t="n"/>
      <c r="W83" s="443" t="n"/>
      <c r="X83" s="443" t="n"/>
      <c r="Y83" s="450" t="n"/>
      <c r="AB83" s="443" t="n"/>
      <c r="AF83" s="450" t="n"/>
      <c r="AH83" s="450" t="n"/>
      <c r="AI83" s="443" t="n"/>
      <c r="AK83" s="443" t="n"/>
      <c r="AM83" s="450" t="n"/>
      <c r="AN83" s="450" t="n"/>
      <c r="AP83" s="398" t="n"/>
      <c r="AQ83" s="286" t="n"/>
      <c r="AR83" s="450" t="n"/>
      <c r="AT83" s="450" t="n"/>
      <c r="AV83" s="450" t="n"/>
    </row>
    <row r="84">
      <c r="O84" s="443" t="n"/>
      <c r="P84" s="443" t="n"/>
      <c r="R84" s="450" t="n"/>
      <c r="S84" s="443" t="n"/>
      <c r="T84" s="443" t="n"/>
      <c r="U84" s="443" t="n"/>
      <c r="V84" s="463" t="n"/>
      <c r="W84" s="443" t="n"/>
      <c r="X84" s="443" t="n"/>
      <c r="Y84" s="450" t="n"/>
      <c r="AB84" s="443" t="n"/>
      <c r="AF84" s="450" t="n"/>
      <c r="AH84" s="450" t="n"/>
      <c r="AI84" s="443" t="n"/>
      <c r="AK84" s="443" t="n"/>
      <c r="AM84" s="450" t="n"/>
      <c r="AN84" s="450" t="n"/>
      <c r="AP84" s="398" t="n"/>
      <c r="AQ84" s="286" t="n"/>
      <c r="AR84" s="450" t="n"/>
      <c r="AT84" s="450" t="n"/>
      <c r="AV84" s="450" t="n"/>
    </row>
    <row r="85">
      <c r="O85" s="443" t="n"/>
      <c r="P85" s="443" t="n"/>
      <c r="R85" s="450" t="n"/>
      <c r="S85" s="443" t="n"/>
      <c r="T85" s="443" t="n"/>
      <c r="U85" s="443" t="n"/>
      <c r="V85" s="463" t="n"/>
      <c r="W85" s="443" t="n"/>
      <c r="X85" s="443" t="n"/>
      <c r="Y85" s="450" t="n"/>
      <c r="AB85" s="443" t="n"/>
      <c r="AF85" s="450" t="n"/>
      <c r="AH85" s="450" t="n"/>
      <c r="AI85" s="443" t="n"/>
      <c r="AK85" s="443" t="n"/>
      <c r="AM85" s="450" t="n"/>
      <c r="AN85" s="450" t="n"/>
      <c r="AP85" s="398" t="n"/>
      <c r="AQ85" s="286" t="n"/>
      <c r="AR85" s="450" t="n"/>
      <c r="AT85" s="450" t="n"/>
      <c r="AV85" s="450" t="n"/>
    </row>
    <row r="86">
      <c r="O86" s="443" t="n"/>
      <c r="P86" s="443" t="n"/>
      <c r="R86" s="450" t="n"/>
      <c r="S86" s="443" t="n"/>
      <c r="T86" s="443" t="n"/>
      <c r="U86" s="443" t="n"/>
      <c r="V86" s="463" t="n"/>
      <c r="W86" s="443" t="n"/>
      <c r="X86" s="443" t="n"/>
      <c r="Y86" s="450" t="n"/>
      <c r="AB86" s="443" t="n"/>
      <c r="AF86" s="450" t="n"/>
      <c r="AH86" s="450" t="n"/>
      <c r="AI86" s="443" t="n"/>
      <c r="AK86" s="443" t="n"/>
      <c r="AM86" s="450" t="n"/>
      <c r="AN86" s="450" t="n"/>
      <c r="AP86" s="398" t="n"/>
      <c r="AQ86" s="286" t="n"/>
      <c r="AR86" s="450" t="n"/>
      <c r="AT86" s="450" t="n"/>
      <c r="AV86" s="450" t="n"/>
    </row>
    <row r="87">
      <c r="O87" s="443" t="n"/>
      <c r="P87" s="443" t="n"/>
      <c r="R87" s="450" t="n"/>
      <c r="S87" s="443" t="n"/>
      <c r="T87" s="443" t="n"/>
      <c r="U87" s="443" t="n"/>
      <c r="V87" s="463" t="n"/>
      <c r="W87" s="443" t="n"/>
      <c r="X87" s="443" t="n"/>
      <c r="Y87" s="450" t="n"/>
      <c r="AB87" s="443" t="n"/>
      <c r="AF87" s="450" t="n"/>
      <c r="AH87" s="450" t="n"/>
      <c r="AI87" s="443" t="n"/>
      <c r="AK87" s="443" t="n"/>
      <c r="AM87" s="450" t="n"/>
      <c r="AN87" s="450" t="n"/>
      <c r="AP87" s="398" t="n"/>
      <c r="AQ87" s="286" t="n"/>
      <c r="AR87" s="450" t="n"/>
      <c r="AT87" s="450" t="n"/>
      <c r="AV87" s="450" t="n"/>
    </row>
    <row r="88">
      <c r="O88" s="443" t="n"/>
      <c r="P88" s="443" t="n"/>
      <c r="R88" s="450" t="n"/>
      <c r="S88" s="443" t="n"/>
      <c r="T88" s="443" t="n"/>
      <c r="U88" s="443" t="n"/>
      <c r="V88" s="463" t="n"/>
      <c r="W88" s="443" t="n"/>
      <c r="X88" s="443" t="n"/>
      <c r="Y88" s="450" t="n"/>
      <c r="AB88" s="443" t="n"/>
      <c r="AF88" s="450" t="n"/>
      <c r="AH88" s="450" t="n"/>
      <c r="AI88" s="443" t="n"/>
      <c r="AK88" s="443" t="n"/>
      <c r="AM88" s="450" t="n"/>
      <c r="AN88" s="450" t="n"/>
      <c r="AP88" s="398" t="n"/>
      <c r="AQ88" s="286" t="n"/>
      <c r="AR88" s="450" t="n"/>
      <c r="AT88" s="450" t="n"/>
      <c r="AV88" s="450" t="n"/>
    </row>
    <row r="89">
      <c r="O89" s="443" t="n"/>
      <c r="P89" s="443" t="n"/>
      <c r="R89" s="450" t="n"/>
      <c r="S89" s="443" t="n"/>
      <c r="T89" s="443" t="n"/>
      <c r="U89" s="443" t="n"/>
      <c r="V89" s="463" t="n"/>
      <c r="W89" s="443" t="n"/>
      <c r="X89" s="443" t="n"/>
      <c r="Y89" s="450" t="n"/>
      <c r="AB89" s="443" t="n"/>
      <c r="AF89" s="450" t="n"/>
      <c r="AH89" s="450" t="n"/>
      <c r="AI89" s="443" t="n"/>
      <c r="AK89" s="443" t="n"/>
      <c r="AM89" s="450" t="n"/>
      <c r="AN89" s="450" t="n"/>
      <c r="AP89" s="398" t="n"/>
      <c r="AQ89" s="286" t="n"/>
      <c r="AR89" s="450" t="n"/>
      <c r="AT89" s="450" t="n"/>
      <c r="AV89" s="450" t="n"/>
    </row>
    <row r="90">
      <c r="O90" s="443" t="n"/>
      <c r="P90" s="443" t="n"/>
      <c r="R90" s="450" t="n"/>
      <c r="S90" s="443" t="n"/>
      <c r="T90" s="443" t="n"/>
      <c r="U90" s="443" t="n"/>
      <c r="V90" s="463" t="n"/>
      <c r="W90" s="443" t="n"/>
      <c r="X90" s="443" t="n"/>
      <c r="Y90" s="450" t="n"/>
      <c r="AB90" s="443" t="n"/>
      <c r="AF90" s="450" t="n"/>
      <c r="AH90" s="450" t="n"/>
      <c r="AI90" s="443" t="n"/>
      <c r="AK90" s="443" t="n"/>
      <c r="AM90" s="450" t="n"/>
      <c r="AN90" s="450" t="n"/>
      <c r="AP90" s="398" t="n"/>
      <c r="AQ90" s="286" t="n"/>
      <c r="AR90" s="450" t="n"/>
      <c r="AT90" s="450" t="n"/>
      <c r="AV90" s="450" t="n"/>
    </row>
    <row r="91">
      <c r="O91" s="443" t="n"/>
      <c r="P91" s="443" t="n"/>
      <c r="R91" s="450" t="n"/>
      <c r="S91" s="443" t="n"/>
      <c r="T91" s="443" t="n"/>
      <c r="U91" s="443" t="n"/>
      <c r="V91" s="463" t="n"/>
      <c r="W91" s="443" t="n"/>
      <c r="X91" s="443" t="n"/>
      <c r="Y91" s="450" t="n"/>
      <c r="AB91" s="443" t="n"/>
      <c r="AF91" s="450" t="n"/>
      <c r="AH91" s="450" t="n"/>
      <c r="AI91" s="443" t="n"/>
      <c r="AK91" s="443" t="n"/>
      <c r="AM91" s="450" t="n"/>
      <c r="AN91" s="450" t="n"/>
      <c r="AP91" s="398" t="n"/>
      <c r="AQ91" s="286" t="n"/>
      <c r="AR91" s="450" t="n"/>
      <c r="AT91" s="450" t="n"/>
      <c r="AV91" s="450" t="n"/>
    </row>
    <row r="92">
      <c r="O92" s="443" t="n"/>
      <c r="P92" s="443" t="n"/>
      <c r="R92" s="450" t="n"/>
      <c r="S92" s="443" t="n"/>
      <c r="T92" s="443" t="n"/>
      <c r="U92" s="443" t="n"/>
      <c r="V92" s="463" t="n"/>
      <c r="W92" s="443" t="n"/>
      <c r="X92" s="443" t="n"/>
      <c r="Y92" s="450" t="n"/>
      <c r="AB92" s="443" t="n"/>
      <c r="AF92" s="450" t="n"/>
      <c r="AH92" s="450" t="n"/>
      <c r="AI92" s="443" t="n"/>
      <c r="AK92" s="443" t="n"/>
      <c r="AM92" s="450" t="n"/>
      <c r="AN92" s="450" t="n"/>
      <c r="AP92" s="398" t="n"/>
      <c r="AQ92" s="286" t="n"/>
      <c r="AR92" s="450" t="n"/>
      <c r="AT92" s="450" t="n"/>
      <c r="AV92" s="450" t="n"/>
    </row>
    <row r="93">
      <c r="O93" s="443" t="n"/>
      <c r="P93" s="443" t="n"/>
      <c r="R93" s="450" t="n"/>
      <c r="S93" s="443" t="n"/>
      <c r="T93" s="443" t="n"/>
      <c r="U93" s="443" t="n"/>
      <c r="V93" s="463" t="n"/>
      <c r="W93" s="443" t="n"/>
      <c r="X93" s="443" t="n"/>
      <c r="Y93" s="450" t="n"/>
      <c r="AB93" s="443" t="n"/>
      <c r="AF93" s="450" t="n"/>
      <c r="AH93" s="450" t="n"/>
      <c r="AI93" s="443" t="n"/>
      <c r="AK93" s="443" t="n"/>
      <c r="AM93" s="450" t="n"/>
      <c r="AN93" s="450" t="n"/>
      <c r="AP93" s="398" t="n"/>
      <c r="AQ93" s="286" t="n"/>
      <c r="AR93" s="450" t="n"/>
      <c r="AT93" s="450" t="n"/>
      <c r="AV93" s="450" t="n"/>
    </row>
    <row r="94">
      <c r="O94" s="443" t="n"/>
      <c r="P94" s="443" t="n"/>
      <c r="R94" s="450" t="n"/>
      <c r="S94" s="443" t="n"/>
      <c r="T94" s="443" t="n"/>
      <c r="U94" s="443" t="n"/>
      <c r="V94" s="463" t="n"/>
      <c r="W94" s="443" t="n"/>
      <c r="X94" s="443" t="n"/>
      <c r="Y94" s="450" t="n"/>
      <c r="AB94" s="443" t="n"/>
      <c r="AF94" s="450" t="n"/>
      <c r="AH94" s="450" t="n"/>
      <c r="AI94" s="443" t="n"/>
      <c r="AK94" s="443" t="n"/>
      <c r="AM94" s="450" t="n"/>
      <c r="AN94" s="450" t="n"/>
      <c r="AP94" s="398" t="n"/>
      <c r="AQ94" s="286" t="n"/>
      <c r="AR94" s="450" t="n"/>
      <c r="AT94" s="450" t="n"/>
      <c r="AV94" s="450" t="n"/>
    </row>
    <row r="95">
      <c r="O95" s="443" t="n"/>
      <c r="P95" s="443" t="n"/>
      <c r="R95" s="450" t="n"/>
      <c r="S95" s="443" t="n"/>
      <c r="T95" s="443" t="n"/>
      <c r="U95" s="443" t="n"/>
      <c r="V95" s="463" t="n"/>
      <c r="W95" s="443" t="n"/>
      <c r="X95" s="443" t="n"/>
      <c r="Y95" s="450" t="n"/>
      <c r="AB95" s="443" t="n"/>
      <c r="AF95" s="450" t="n"/>
      <c r="AH95" s="450" t="n"/>
      <c r="AI95" s="443" t="n"/>
      <c r="AK95" s="443" t="n"/>
      <c r="AM95" s="450" t="n"/>
      <c r="AN95" s="450" t="n"/>
      <c r="AP95" s="398" t="n"/>
      <c r="AQ95" s="286" t="n"/>
      <c r="AR95" s="450" t="n"/>
      <c r="AT95" s="450" t="n"/>
      <c r="AV95" s="450" t="n"/>
    </row>
    <row r="96">
      <c r="O96" s="443" t="n"/>
      <c r="P96" s="443" t="n"/>
      <c r="R96" s="450" t="n"/>
      <c r="S96" s="443" t="n"/>
      <c r="T96" s="443" t="n"/>
      <c r="U96" s="443" t="n"/>
      <c r="V96" s="463" t="n"/>
      <c r="W96" s="443" t="n"/>
      <c r="X96" s="443" t="n"/>
      <c r="Y96" s="450" t="n"/>
      <c r="AB96" s="443" t="n"/>
      <c r="AF96" s="450" t="n"/>
      <c r="AH96" s="450" t="n"/>
      <c r="AI96" s="443" t="n"/>
      <c r="AK96" s="443" t="n"/>
      <c r="AM96" s="450" t="n"/>
      <c r="AN96" s="450" t="n"/>
      <c r="AP96" s="398" t="n"/>
      <c r="AQ96" s="286" t="n"/>
      <c r="AR96" s="450" t="n"/>
      <c r="AT96" s="450" t="n"/>
      <c r="AV96" s="450" t="n"/>
    </row>
    <row r="97">
      <c r="O97" s="443" t="n"/>
      <c r="P97" s="443" t="n"/>
      <c r="R97" s="450" t="n"/>
      <c r="S97" s="443" t="n"/>
      <c r="T97" s="443" t="n"/>
      <c r="U97" s="443" t="n"/>
      <c r="V97" s="463" t="n"/>
      <c r="W97" s="443" t="n"/>
      <c r="X97" s="443" t="n"/>
      <c r="Y97" s="450" t="n"/>
      <c r="AB97" s="443" t="n"/>
      <c r="AF97" s="450" t="n"/>
      <c r="AH97" s="450" t="n"/>
      <c r="AI97" s="443" t="n"/>
      <c r="AK97" s="443" t="n"/>
      <c r="AM97" s="450" t="n"/>
      <c r="AN97" s="450" t="n"/>
      <c r="AP97" s="398" t="n"/>
      <c r="AQ97" s="286" t="n"/>
      <c r="AR97" s="450" t="n"/>
      <c r="AT97" s="450" t="n"/>
      <c r="AV97" s="450" t="n"/>
    </row>
    <row r="98">
      <c r="O98" s="443" t="n"/>
      <c r="P98" s="443" t="n"/>
      <c r="R98" s="450" t="n"/>
      <c r="S98" s="443" t="n"/>
      <c r="T98" s="443" t="n"/>
      <c r="U98" s="443" t="n"/>
      <c r="V98" s="463" t="n"/>
      <c r="W98" s="443" t="n"/>
      <c r="X98" s="443" t="n"/>
      <c r="Y98" s="450" t="n"/>
      <c r="AB98" s="443" t="n"/>
      <c r="AF98" s="450" t="n"/>
      <c r="AH98" s="450" t="n"/>
      <c r="AI98" s="443" t="n"/>
      <c r="AK98" s="443" t="n"/>
      <c r="AM98" s="450" t="n"/>
      <c r="AN98" s="450" t="n"/>
      <c r="AP98" s="398" t="n"/>
      <c r="AQ98" s="286" t="n"/>
      <c r="AR98" s="450" t="n"/>
      <c r="AT98" s="450" t="n"/>
      <c r="AV98" s="450" t="n"/>
    </row>
    <row r="99">
      <c r="O99" s="443" t="n"/>
      <c r="P99" s="443" t="n"/>
      <c r="R99" s="450" t="n"/>
      <c r="S99" s="443" t="n"/>
      <c r="T99" s="443" t="n"/>
      <c r="U99" s="443" t="n"/>
      <c r="V99" s="463" t="n"/>
      <c r="W99" s="443" t="n"/>
      <c r="X99" s="443" t="n"/>
      <c r="Y99" s="450" t="n"/>
      <c r="AB99" s="443" t="n"/>
      <c r="AF99" s="450" t="n"/>
      <c r="AH99" s="450" t="n"/>
      <c r="AI99" s="443" t="n"/>
      <c r="AK99" s="443" t="n"/>
      <c r="AM99" s="450" t="n"/>
      <c r="AN99" s="450" t="n"/>
      <c r="AP99" s="398" t="n"/>
      <c r="AQ99" s="286" t="n"/>
      <c r="AR99" s="450" t="n"/>
      <c r="AT99" s="450" t="n"/>
      <c r="AV99" s="450" t="n"/>
    </row>
    <row r="100">
      <c r="O100" s="443" t="n"/>
      <c r="P100" s="443" t="n"/>
      <c r="R100" s="450" t="n"/>
      <c r="S100" s="443" t="n"/>
      <c r="T100" s="443" t="n"/>
      <c r="U100" s="443" t="n"/>
      <c r="V100" s="463" t="n"/>
      <c r="W100" s="443" t="n"/>
      <c r="X100" s="443" t="n"/>
      <c r="Y100" s="450" t="n"/>
      <c r="AB100" s="443" t="n"/>
      <c r="AF100" s="450" t="n"/>
      <c r="AH100" s="450" t="n"/>
      <c r="AI100" s="443" t="n"/>
      <c r="AK100" s="443" t="n"/>
      <c r="AM100" s="450" t="n"/>
      <c r="AN100" s="450" t="n"/>
      <c r="AP100" s="398" t="n"/>
      <c r="AQ100" s="286" t="n"/>
      <c r="AR100" s="450" t="n"/>
      <c r="AT100" s="450" t="n"/>
      <c r="AV100" s="450" t="n"/>
    </row>
    <row r="101">
      <c r="O101" s="443" t="n"/>
      <c r="P101" s="443" t="n"/>
      <c r="R101" s="450" t="n"/>
      <c r="S101" s="443" t="n"/>
      <c r="T101" s="443" t="n"/>
      <c r="U101" s="443" t="n"/>
      <c r="V101" s="463" t="n"/>
      <c r="W101" s="443" t="n"/>
      <c r="X101" s="443" t="n"/>
      <c r="Y101" s="450" t="n"/>
      <c r="AB101" s="443" t="n"/>
      <c r="AF101" s="450" t="n"/>
      <c r="AH101" s="450" t="n"/>
      <c r="AI101" s="443" t="n"/>
      <c r="AK101" s="443" t="n"/>
      <c r="AM101" s="450" t="n"/>
      <c r="AN101" s="450" t="n"/>
      <c r="AP101" s="398" t="n"/>
      <c r="AQ101" s="286" t="n"/>
      <c r="AR101" s="450" t="n"/>
      <c r="AT101" s="450" t="n"/>
      <c r="AV101" s="450" t="n"/>
    </row>
    <row r="102">
      <c r="O102" s="443" t="n"/>
      <c r="P102" s="443" t="n"/>
      <c r="R102" s="450" t="n"/>
      <c r="S102" s="443" t="n"/>
      <c r="T102" s="443" t="n"/>
      <c r="U102" s="443" t="n"/>
      <c r="V102" s="463" t="n"/>
      <c r="W102" s="443" t="n"/>
      <c r="X102" s="443" t="n"/>
      <c r="Y102" s="450" t="n"/>
      <c r="AB102" s="443" t="n"/>
      <c r="AF102" s="450" t="n"/>
      <c r="AH102" s="450" t="n"/>
      <c r="AI102" s="443" t="n"/>
      <c r="AK102" s="443" t="n"/>
      <c r="AM102" s="450" t="n"/>
      <c r="AN102" s="450" t="n"/>
      <c r="AP102" s="398" t="n"/>
      <c r="AQ102" s="286" t="n"/>
      <c r="AR102" s="450" t="n"/>
      <c r="AT102" s="450" t="n"/>
      <c r="AV102" s="450" t="n"/>
    </row>
    <row r="103">
      <c r="O103" s="443" t="n"/>
      <c r="P103" s="443" t="n"/>
      <c r="R103" s="450" t="n"/>
      <c r="S103" s="443" t="n"/>
      <c r="T103" s="443" t="n"/>
      <c r="U103" s="443" t="n"/>
      <c r="V103" s="463" t="n"/>
      <c r="W103" s="443" t="n"/>
      <c r="X103" s="443" t="n"/>
      <c r="Y103" s="450" t="n"/>
      <c r="AB103" s="443" t="n"/>
      <c r="AF103" s="450" t="n"/>
      <c r="AH103" s="450" t="n"/>
      <c r="AI103" s="443" t="n"/>
      <c r="AK103" s="443" t="n"/>
      <c r="AM103" s="450" t="n"/>
      <c r="AN103" s="450" t="n"/>
      <c r="AP103" s="398" t="n"/>
      <c r="AQ103" s="286" t="n"/>
      <c r="AR103" s="450" t="n"/>
      <c r="AT103" s="450" t="n"/>
      <c r="AV103" s="450" t="n"/>
    </row>
    <row r="104">
      <c r="O104" s="443" t="n"/>
      <c r="P104" s="443" t="n"/>
      <c r="R104" s="450" t="n"/>
      <c r="S104" s="443" t="n"/>
      <c r="T104" s="443" t="n"/>
      <c r="U104" s="443" t="n"/>
      <c r="V104" s="463" t="n"/>
      <c r="W104" s="443" t="n"/>
      <c r="X104" s="443" t="n"/>
      <c r="Y104" s="450" t="n"/>
      <c r="AB104" s="443" t="n"/>
      <c r="AF104" s="450" t="n"/>
      <c r="AH104" s="450" t="n"/>
      <c r="AI104" s="443" t="n"/>
      <c r="AK104" s="443" t="n"/>
      <c r="AM104" s="450" t="n"/>
      <c r="AN104" s="450" t="n"/>
      <c r="AP104" s="398" t="n"/>
      <c r="AQ104" s="286" t="n"/>
      <c r="AR104" s="450" t="n"/>
      <c r="AT104" s="450" t="n"/>
      <c r="AV104" s="450" t="n"/>
    </row>
    <row r="105">
      <c r="O105" s="443" t="n"/>
      <c r="P105" s="443" t="n"/>
      <c r="R105" s="450" t="n"/>
      <c r="S105" s="443" t="n"/>
      <c r="T105" s="443" t="n"/>
      <c r="U105" s="443" t="n"/>
      <c r="V105" s="463" t="n"/>
      <c r="W105" s="443" t="n"/>
      <c r="X105" s="443" t="n"/>
      <c r="Y105" s="450" t="n"/>
      <c r="AB105" s="443" t="n"/>
      <c r="AF105" s="450" t="n"/>
      <c r="AH105" s="450" t="n"/>
      <c r="AI105" s="443" t="n"/>
      <c r="AK105" s="443" t="n"/>
      <c r="AM105" s="450" t="n"/>
      <c r="AN105" s="450" t="n"/>
      <c r="AP105" s="398" t="n"/>
      <c r="AQ105" s="286" t="n"/>
      <c r="AR105" s="450" t="n"/>
      <c r="AT105" s="450" t="n"/>
      <c r="AV105" s="450" t="n"/>
    </row>
    <row r="106">
      <c r="O106" s="443" t="n"/>
      <c r="P106" s="443" t="n"/>
      <c r="R106" s="450" t="n"/>
      <c r="S106" s="443" t="n"/>
      <c r="T106" s="443" t="n"/>
      <c r="U106" s="443" t="n"/>
      <c r="V106" s="463" t="n"/>
      <c r="W106" s="443" t="n"/>
      <c r="X106" s="443" t="n"/>
      <c r="Y106" s="450" t="n"/>
      <c r="AB106" s="443" t="n"/>
      <c r="AF106" s="450" t="n"/>
      <c r="AH106" s="450" t="n"/>
      <c r="AI106" s="443" t="n"/>
      <c r="AK106" s="443" t="n"/>
      <c r="AM106" s="450" t="n"/>
      <c r="AN106" s="450" t="n"/>
      <c r="AP106" s="398" t="n"/>
      <c r="AQ106" s="286" t="n"/>
      <c r="AR106" s="450" t="n"/>
      <c r="AT106" s="450" t="n"/>
      <c r="AV106" s="450" t="n"/>
    </row>
    <row r="107">
      <c r="O107" s="443" t="n"/>
      <c r="P107" s="443" t="n"/>
      <c r="R107" s="450" t="n"/>
      <c r="S107" s="443" t="n"/>
      <c r="T107" s="443" t="n"/>
      <c r="U107" s="443" t="n"/>
      <c r="V107" s="463" t="n"/>
      <c r="W107" s="443" t="n"/>
      <c r="X107" s="443" t="n"/>
      <c r="Y107" s="450" t="n"/>
      <c r="AB107" s="443" t="n"/>
      <c r="AF107" s="450" t="n"/>
      <c r="AH107" s="450" t="n"/>
      <c r="AI107" s="443" t="n"/>
      <c r="AK107" s="443" t="n"/>
      <c r="AM107" s="450" t="n"/>
      <c r="AN107" s="450" t="n"/>
      <c r="AP107" s="398" t="n"/>
      <c r="AQ107" s="286" t="n"/>
      <c r="AR107" s="450" t="n"/>
      <c r="AT107" s="450" t="n"/>
      <c r="AV107" s="450" t="n"/>
    </row>
    <row r="108">
      <c r="O108" s="443" t="n"/>
      <c r="P108" s="443" t="n"/>
      <c r="R108" s="450" t="n"/>
      <c r="S108" s="443" t="n"/>
      <c r="T108" s="443" t="n"/>
      <c r="U108" s="443" t="n"/>
      <c r="V108" s="463" t="n"/>
      <c r="W108" s="443" t="n"/>
      <c r="X108" s="443" t="n"/>
      <c r="Y108" s="450" t="n"/>
      <c r="AB108" s="443" t="n"/>
      <c r="AF108" s="450" t="n"/>
      <c r="AH108" s="450" t="n"/>
      <c r="AI108" s="443" t="n"/>
      <c r="AK108" s="443" t="n"/>
      <c r="AM108" s="450" t="n"/>
      <c r="AN108" s="450" t="n"/>
      <c r="AP108" s="398" t="n"/>
      <c r="AQ108" s="286" t="n"/>
      <c r="AR108" s="450" t="n"/>
      <c r="AT108" s="450" t="n"/>
      <c r="AV108" s="450" t="n"/>
    </row>
    <row r="109">
      <c r="O109" s="443" t="n"/>
      <c r="P109" s="443" t="n"/>
      <c r="R109" s="450" t="n"/>
      <c r="S109" s="443" t="n"/>
      <c r="T109" s="443" t="n"/>
      <c r="U109" s="443" t="n"/>
      <c r="V109" s="463" t="n"/>
      <c r="W109" s="443" t="n"/>
      <c r="X109" s="443" t="n"/>
      <c r="Y109" s="450" t="n"/>
      <c r="AB109" s="443" t="n"/>
      <c r="AF109" s="450" t="n"/>
      <c r="AH109" s="450" t="n"/>
      <c r="AI109" s="443" t="n"/>
      <c r="AK109" s="443" t="n"/>
      <c r="AM109" s="450" t="n"/>
      <c r="AN109" s="450" t="n"/>
      <c r="AP109" s="398" t="n"/>
      <c r="AQ109" s="286" t="n"/>
      <c r="AR109" s="450" t="n"/>
      <c r="AT109" s="450" t="n"/>
      <c r="AV109" s="450" t="n"/>
    </row>
    <row r="110">
      <c r="O110" s="443" t="n"/>
      <c r="P110" s="443" t="n"/>
      <c r="R110" s="450" t="n"/>
      <c r="S110" s="443" t="n"/>
      <c r="T110" s="443" t="n"/>
      <c r="U110" s="443" t="n"/>
      <c r="V110" s="463" t="n"/>
      <c r="W110" s="443" t="n"/>
      <c r="X110" s="443" t="n"/>
      <c r="Y110" s="450" t="n"/>
      <c r="AB110" s="443" t="n"/>
      <c r="AF110" s="450" t="n"/>
      <c r="AH110" s="450" t="n"/>
      <c r="AI110" s="443" t="n"/>
      <c r="AK110" s="443" t="n"/>
      <c r="AM110" s="450" t="n"/>
      <c r="AN110" s="450" t="n"/>
      <c r="AP110" s="398" t="n"/>
      <c r="AQ110" s="286" t="n"/>
      <c r="AR110" s="450" t="n"/>
      <c r="AT110" s="450" t="n"/>
      <c r="AV110" s="450" t="n"/>
    </row>
    <row r="111">
      <c r="O111" s="443" t="n"/>
      <c r="P111" s="443" t="n"/>
      <c r="R111" s="450" t="n"/>
      <c r="S111" s="443" t="n"/>
      <c r="T111" s="443" t="n"/>
      <c r="U111" s="443" t="n"/>
      <c r="V111" s="463" t="n"/>
      <c r="W111" s="443" t="n"/>
      <c r="X111" s="443" t="n"/>
      <c r="Y111" s="450" t="n"/>
      <c r="AB111" s="443" t="n"/>
      <c r="AF111" s="450" t="n"/>
      <c r="AH111" s="450" t="n"/>
      <c r="AI111" s="443" t="n"/>
      <c r="AK111" s="443" t="n"/>
      <c r="AM111" s="450" t="n"/>
      <c r="AN111" s="450" t="n"/>
      <c r="AP111" s="398" t="n"/>
      <c r="AQ111" s="286" t="n"/>
      <c r="AR111" s="450" t="n"/>
      <c r="AT111" s="450" t="n"/>
      <c r="AV111" s="450" t="n"/>
    </row>
    <row r="112">
      <c r="O112" s="443" t="n"/>
      <c r="P112" s="443" t="n"/>
      <c r="R112" s="450" t="n"/>
      <c r="S112" s="443" t="n"/>
      <c r="T112" s="443" t="n"/>
      <c r="U112" s="443" t="n"/>
      <c r="V112" s="463" t="n"/>
      <c r="W112" s="443" t="n"/>
      <c r="X112" s="443" t="n"/>
      <c r="Y112" s="450" t="n"/>
      <c r="AB112" s="443" t="n"/>
      <c r="AF112" s="450" t="n"/>
      <c r="AH112" s="450" t="n"/>
      <c r="AI112" s="443" t="n"/>
      <c r="AK112" s="443" t="n"/>
      <c r="AM112" s="450" t="n"/>
      <c r="AN112" s="450" t="n"/>
      <c r="AP112" s="398" t="n"/>
      <c r="AQ112" s="286" t="n"/>
      <c r="AR112" s="450" t="n"/>
      <c r="AT112" s="450" t="n"/>
      <c r="AV112" s="450" t="n"/>
    </row>
    <row r="113">
      <c r="O113" s="443" t="n"/>
      <c r="P113" s="443" t="n"/>
      <c r="R113" s="450" t="n"/>
      <c r="S113" s="443" t="n"/>
      <c r="T113" s="443" t="n"/>
      <c r="U113" s="443" t="n"/>
      <c r="V113" s="463" t="n"/>
      <c r="W113" s="443" t="n"/>
      <c r="X113" s="443" t="n"/>
      <c r="Y113" s="450" t="n"/>
      <c r="AB113" s="443" t="n"/>
      <c r="AF113" s="450" t="n"/>
      <c r="AH113" s="450" t="n"/>
      <c r="AI113" s="443" t="n"/>
      <c r="AK113" s="443" t="n"/>
      <c r="AM113" s="450" t="n"/>
      <c r="AN113" s="450" t="n"/>
      <c r="AP113" s="398" t="n"/>
      <c r="AQ113" s="286" t="n"/>
      <c r="AR113" s="450" t="n"/>
      <c r="AT113" s="450" t="n"/>
      <c r="AV113" s="450" t="n"/>
    </row>
    <row r="114">
      <c r="O114" s="443" t="n"/>
      <c r="P114" s="443" t="n"/>
      <c r="R114" s="450" t="n"/>
      <c r="S114" s="443" t="n"/>
      <c r="T114" s="443" t="n"/>
      <c r="U114" s="443" t="n"/>
      <c r="V114" s="463" t="n"/>
      <c r="W114" s="443" t="n"/>
      <c r="X114" s="443" t="n"/>
      <c r="Y114" s="450" t="n"/>
      <c r="AB114" s="443" t="n"/>
      <c r="AF114" s="450" t="n"/>
      <c r="AH114" s="450" t="n"/>
      <c r="AI114" s="443" t="n"/>
      <c r="AK114" s="443" t="n"/>
      <c r="AM114" s="450" t="n"/>
      <c r="AN114" s="450" t="n"/>
      <c r="AP114" s="398" t="n"/>
      <c r="AQ114" s="286" t="n"/>
      <c r="AR114" s="450" t="n"/>
      <c r="AT114" s="450" t="n"/>
      <c r="AV114" s="450" t="n"/>
    </row>
    <row r="115">
      <c r="O115" s="443" t="n"/>
      <c r="P115" s="443" t="n"/>
      <c r="R115" s="450" t="n"/>
      <c r="S115" s="443" t="n"/>
      <c r="T115" s="443" t="n"/>
      <c r="U115" s="443" t="n"/>
      <c r="V115" s="463" t="n"/>
      <c r="W115" s="443" t="n"/>
      <c r="X115" s="443" t="n"/>
      <c r="Y115" s="450" t="n"/>
      <c r="AB115" s="443" t="n"/>
      <c r="AF115" s="450" t="n"/>
      <c r="AH115" s="450" t="n"/>
      <c r="AI115" s="443" t="n"/>
      <c r="AK115" s="443" t="n"/>
      <c r="AM115" s="450" t="n"/>
      <c r="AN115" s="450" t="n"/>
      <c r="AP115" s="398" t="n"/>
      <c r="AQ115" s="286" t="n"/>
      <c r="AR115" s="450" t="n"/>
      <c r="AT115" s="450" t="n"/>
      <c r="AV115" s="450" t="n"/>
    </row>
    <row r="116">
      <c r="O116" s="443" t="n"/>
      <c r="P116" s="443" t="n"/>
      <c r="R116" s="450" t="n"/>
      <c r="S116" s="443" t="n"/>
      <c r="T116" s="443" t="n"/>
      <c r="U116" s="443" t="n"/>
      <c r="V116" s="463" t="n"/>
      <c r="W116" s="443" t="n"/>
      <c r="X116" s="443" t="n"/>
      <c r="Y116" s="450" t="n"/>
      <c r="AB116" s="443" t="n"/>
      <c r="AF116" s="450" t="n"/>
      <c r="AH116" s="450" t="n"/>
      <c r="AI116" s="443" t="n"/>
      <c r="AK116" s="443" t="n"/>
      <c r="AM116" s="450" t="n"/>
      <c r="AN116" s="450" t="n"/>
      <c r="AP116" s="398" t="n"/>
      <c r="AQ116" s="286" t="n"/>
      <c r="AR116" s="450" t="n"/>
      <c r="AT116" s="450" t="n"/>
      <c r="AV116" s="450" t="n"/>
    </row>
    <row r="117">
      <c r="O117" s="443" t="n"/>
      <c r="P117" s="443" t="n"/>
      <c r="R117" s="450" t="n"/>
      <c r="S117" s="443" t="n"/>
      <c r="T117" s="443" t="n"/>
      <c r="U117" s="443" t="n"/>
      <c r="V117" s="463" t="n"/>
      <c r="W117" s="443" t="n"/>
      <c r="X117" s="443" t="n"/>
      <c r="Y117" s="450" t="n"/>
      <c r="AB117" s="443" t="n"/>
      <c r="AF117" s="450" t="n"/>
      <c r="AH117" s="450" t="n"/>
      <c r="AI117" s="443" t="n"/>
      <c r="AK117" s="443" t="n"/>
      <c r="AM117" s="450" t="n"/>
      <c r="AN117" s="450" t="n"/>
      <c r="AP117" s="398" t="n"/>
      <c r="AQ117" s="286" t="n"/>
      <c r="AR117" s="450" t="n"/>
      <c r="AT117" s="450" t="n"/>
      <c r="AV117" s="450" t="n"/>
    </row>
    <row r="118">
      <c r="O118" s="443" t="n"/>
      <c r="P118" s="443" t="n"/>
      <c r="R118" s="450" t="n"/>
      <c r="S118" s="443" t="n"/>
      <c r="T118" s="443" t="n"/>
      <c r="U118" s="443" t="n"/>
      <c r="V118" s="463" t="n"/>
      <c r="W118" s="443" t="n"/>
      <c r="X118" s="443" t="n"/>
      <c r="Y118" s="450" t="n"/>
      <c r="AB118" s="443" t="n"/>
      <c r="AF118" s="450" t="n"/>
      <c r="AH118" s="450" t="n"/>
      <c r="AI118" s="443" t="n"/>
      <c r="AK118" s="443" t="n"/>
      <c r="AM118" s="450" t="n"/>
      <c r="AN118" s="450" t="n"/>
      <c r="AP118" s="398" t="n"/>
      <c r="AQ118" s="286" t="n"/>
      <c r="AR118" s="450" t="n"/>
      <c r="AT118" s="450" t="n"/>
      <c r="AV118" s="450" t="n"/>
    </row>
    <row r="119">
      <c r="O119" s="443" t="n"/>
      <c r="P119" s="443" t="n"/>
      <c r="R119" s="450" t="n"/>
      <c r="S119" s="443" t="n"/>
      <c r="T119" s="443" t="n"/>
      <c r="U119" s="443" t="n"/>
      <c r="V119" s="463" t="n"/>
      <c r="W119" s="443" t="n"/>
      <c r="X119" s="443" t="n"/>
      <c r="Y119" s="450" t="n"/>
      <c r="AB119" s="443" t="n"/>
      <c r="AF119" s="450" t="n"/>
      <c r="AH119" s="450" t="n"/>
      <c r="AI119" s="443" t="n"/>
      <c r="AK119" s="443" t="n"/>
      <c r="AM119" s="450" t="n"/>
      <c r="AN119" s="450" t="n"/>
      <c r="AP119" s="398" t="n"/>
      <c r="AQ119" s="286" t="n"/>
      <c r="AR119" s="450" t="n"/>
      <c r="AT119" s="450" t="n"/>
      <c r="AV119" s="450" t="n"/>
    </row>
    <row r="120">
      <c r="O120" s="443" t="n"/>
      <c r="P120" s="443" t="n"/>
      <c r="R120" s="450" t="n"/>
      <c r="S120" s="443" t="n"/>
      <c r="T120" s="443" t="n"/>
      <c r="U120" s="443" t="n"/>
      <c r="V120" s="463" t="n"/>
      <c r="W120" s="443" t="n"/>
      <c r="X120" s="443" t="n"/>
      <c r="Y120" s="450" t="n"/>
      <c r="AB120" s="443" t="n"/>
      <c r="AF120" s="450" t="n"/>
      <c r="AH120" s="450" t="n"/>
      <c r="AI120" s="443" t="n"/>
      <c r="AK120" s="443" t="n"/>
      <c r="AM120" s="450" t="n"/>
      <c r="AN120" s="450" t="n"/>
      <c r="AP120" s="398" t="n"/>
      <c r="AQ120" s="286" t="n"/>
      <c r="AR120" s="450" t="n"/>
      <c r="AT120" s="450" t="n"/>
      <c r="AV120" s="450" t="n"/>
    </row>
    <row r="121">
      <c r="O121" s="443" t="n"/>
      <c r="P121" s="443" t="n"/>
      <c r="R121" s="450" t="n"/>
      <c r="S121" s="443" t="n"/>
      <c r="T121" s="443" t="n"/>
      <c r="U121" s="443" t="n"/>
      <c r="V121" s="463" t="n"/>
      <c r="W121" s="443" t="n"/>
      <c r="X121" s="443" t="n"/>
      <c r="Y121" s="450" t="n"/>
      <c r="AB121" s="443" t="n"/>
      <c r="AF121" s="450" t="n"/>
      <c r="AH121" s="450" t="n"/>
      <c r="AI121" s="443" t="n"/>
      <c r="AK121" s="443" t="n"/>
      <c r="AM121" s="450" t="n"/>
      <c r="AN121" s="450" t="n"/>
      <c r="AP121" s="398" t="n"/>
      <c r="AQ121" s="286" t="n"/>
      <c r="AR121" s="450" t="n"/>
      <c r="AT121" s="450" t="n"/>
      <c r="AV121" s="450" t="n"/>
    </row>
    <row r="122">
      <c r="O122" s="443" t="n"/>
      <c r="P122" s="443" t="n"/>
      <c r="R122" s="450" t="n"/>
      <c r="S122" s="443" t="n"/>
      <c r="T122" s="443" t="n"/>
      <c r="U122" s="443" t="n"/>
      <c r="V122" s="463" t="n"/>
      <c r="W122" s="443" t="n"/>
      <c r="X122" s="443" t="n"/>
      <c r="Y122" s="450" t="n"/>
      <c r="AB122" s="443" t="n"/>
      <c r="AF122" s="450" t="n"/>
      <c r="AH122" s="450" t="n"/>
      <c r="AI122" s="443" t="n"/>
      <c r="AK122" s="443" t="n"/>
      <c r="AM122" s="450" t="n"/>
      <c r="AN122" s="450" t="n"/>
      <c r="AP122" s="398" t="n"/>
      <c r="AQ122" s="286" t="n"/>
      <c r="AR122" s="450" t="n"/>
      <c r="AT122" s="450" t="n"/>
      <c r="AV122" s="450" t="n"/>
    </row>
    <row r="123">
      <c r="O123" s="443" t="n"/>
      <c r="P123" s="443" t="n"/>
      <c r="R123" s="450" t="n"/>
      <c r="S123" s="443" t="n"/>
      <c r="T123" s="443" t="n"/>
      <c r="U123" s="443" t="n"/>
      <c r="V123" s="463" t="n"/>
      <c r="W123" s="443" t="n"/>
      <c r="X123" s="443" t="n"/>
      <c r="Y123" s="450" t="n"/>
      <c r="AB123" s="443" t="n"/>
      <c r="AF123" s="450" t="n"/>
      <c r="AH123" s="450" t="n"/>
      <c r="AI123" s="443" t="n"/>
      <c r="AK123" s="443" t="n"/>
      <c r="AM123" s="450" t="n"/>
      <c r="AN123" s="450" t="n"/>
      <c r="AP123" s="398" t="n"/>
      <c r="AQ123" s="286" t="n"/>
      <c r="AR123" s="450" t="n"/>
      <c r="AT123" s="450" t="n"/>
      <c r="AV123" s="450" t="n"/>
    </row>
    <row r="124">
      <c r="O124" s="443" t="n"/>
      <c r="P124" s="443" t="n"/>
      <c r="R124" s="450" t="n"/>
      <c r="S124" s="443" t="n"/>
      <c r="T124" s="443" t="n"/>
      <c r="U124" s="443" t="n"/>
      <c r="V124" s="463" t="n"/>
      <c r="W124" s="443" t="n"/>
      <c r="X124" s="443" t="n"/>
      <c r="Y124" s="450" t="n"/>
      <c r="AB124" s="443" t="n"/>
      <c r="AF124" s="450" t="n"/>
      <c r="AH124" s="450" t="n"/>
      <c r="AI124" s="443" t="n"/>
      <c r="AK124" s="443" t="n"/>
      <c r="AM124" s="450" t="n"/>
      <c r="AN124" s="450" t="n"/>
      <c r="AP124" s="398" t="n"/>
      <c r="AQ124" s="286" t="n"/>
      <c r="AR124" s="450" t="n"/>
      <c r="AT124" s="450" t="n"/>
      <c r="AV124" s="450" t="n"/>
    </row>
    <row r="125">
      <c r="O125" s="443" t="n"/>
      <c r="P125" s="443" t="n"/>
      <c r="R125" s="450" t="n"/>
      <c r="S125" s="443" t="n"/>
      <c r="T125" s="443" t="n"/>
      <c r="U125" s="443" t="n"/>
      <c r="V125" s="463" t="n"/>
      <c r="W125" s="443" t="n"/>
      <c r="X125" s="443" t="n"/>
      <c r="Y125" s="450" t="n"/>
      <c r="AB125" s="443" t="n"/>
      <c r="AF125" s="450" t="n"/>
      <c r="AH125" s="450" t="n"/>
      <c r="AI125" s="443" t="n"/>
      <c r="AK125" s="443" t="n"/>
      <c r="AM125" s="450" t="n"/>
      <c r="AN125" s="450" t="n"/>
      <c r="AP125" s="398" t="n"/>
      <c r="AQ125" s="286" t="n"/>
      <c r="AR125" s="450" t="n"/>
      <c r="AT125" s="450" t="n"/>
      <c r="AV125" s="450" t="n"/>
    </row>
    <row r="126">
      <c r="O126" s="443" t="n"/>
      <c r="P126" s="443" t="n"/>
      <c r="R126" s="450" t="n"/>
      <c r="S126" s="443" t="n"/>
      <c r="T126" s="443" t="n"/>
      <c r="U126" s="443" t="n"/>
      <c r="V126" s="463" t="n"/>
      <c r="W126" s="443" t="n"/>
      <c r="X126" s="443" t="n"/>
      <c r="Y126" s="450" t="n"/>
      <c r="AB126" s="443" t="n"/>
      <c r="AF126" s="450" t="n"/>
      <c r="AH126" s="450" t="n"/>
      <c r="AI126" s="443" t="n"/>
      <c r="AK126" s="443" t="n"/>
      <c r="AM126" s="450" t="n"/>
      <c r="AN126" s="450" t="n"/>
      <c r="AP126" s="398" t="n"/>
      <c r="AQ126" s="286" t="n"/>
      <c r="AR126" s="450" t="n"/>
      <c r="AT126" s="450" t="n"/>
      <c r="AV126" s="450" t="n"/>
    </row>
    <row r="127">
      <c r="O127" s="443" t="n"/>
      <c r="P127" s="443" t="n"/>
      <c r="R127" s="450" t="n"/>
      <c r="S127" s="443" t="n"/>
      <c r="T127" s="443" t="n"/>
      <c r="U127" s="443" t="n"/>
      <c r="V127" s="463" t="n"/>
      <c r="W127" s="443" t="n"/>
      <c r="X127" s="443" t="n"/>
      <c r="Y127" s="450" t="n"/>
      <c r="AB127" s="443" t="n"/>
      <c r="AF127" s="450" t="n"/>
      <c r="AH127" s="450" t="n"/>
      <c r="AI127" s="443" t="n"/>
      <c r="AK127" s="443" t="n"/>
      <c r="AM127" s="450" t="n"/>
      <c r="AN127" s="450" t="n"/>
      <c r="AP127" s="398" t="n"/>
      <c r="AQ127" s="286" t="n"/>
      <c r="AR127" s="450" t="n"/>
      <c r="AT127" s="450" t="n"/>
      <c r="AV127" s="450" t="n"/>
    </row>
    <row r="128">
      <c r="O128" s="443" t="n"/>
      <c r="P128" s="443" t="n"/>
      <c r="R128" s="450" t="n"/>
      <c r="S128" s="443" t="n"/>
      <c r="T128" s="443" t="n"/>
      <c r="U128" s="443" t="n"/>
      <c r="V128" s="463" t="n"/>
      <c r="W128" s="443" t="n"/>
      <c r="X128" s="443" t="n"/>
      <c r="Y128" s="450" t="n"/>
      <c r="AB128" s="443" t="n"/>
      <c r="AF128" s="450" t="n"/>
      <c r="AH128" s="450" t="n"/>
      <c r="AI128" s="443" t="n"/>
      <c r="AK128" s="443" t="n"/>
      <c r="AM128" s="450" t="n"/>
      <c r="AN128" s="450" t="n"/>
      <c r="AP128" s="398" t="n"/>
      <c r="AQ128" s="286" t="n"/>
      <c r="AR128" s="450" t="n"/>
      <c r="AT128" s="450" t="n"/>
      <c r="AV128" s="450" t="n"/>
    </row>
    <row r="129">
      <c r="O129" s="443" t="n"/>
      <c r="P129" s="443" t="n"/>
      <c r="R129" s="450" t="n"/>
      <c r="S129" s="443" t="n"/>
      <c r="T129" s="443" t="n"/>
      <c r="U129" s="443" t="n"/>
      <c r="V129" s="463" t="n"/>
      <c r="W129" s="443" t="n"/>
      <c r="X129" s="443" t="n"/>
      <c r="Y129" s="450" t="n"/>
      <c r="AB129" s="443" t="n"/>
      <c r="AF129" s="450" t="n"/>
      <c r="AH129" s="450" t="n"/>
      <c r="AI129" s="443" t="n"/>
      <c r="AK129" s="443" t="n"/>
      <c r="AM129" s="450" t="n"/>
      <c r="AN129" s="450" t="n"/>
      <c r="AP129" s="398" t="n"/>
      <c r="AQ129" s="286" t="n"/>
      <c r="AR129" s="450" t="n"/>
      <c r="AT129" s="450" t="n"/>
      <c r="AV129" s="450" t="n"/>
    </row>
    <row r="130">
      <c r="O130" s="443" t="n"/>
      <c r="P130" s="443" t="n"/>
      <c r="R130" s="450" t="n"/>
      <c r="S130" s="443" t="n"/>
      <c r="T130" s="443" t="n"/>
      <c r="U130" s="443" t="n"/>
      <c r="V130" s="463" t="n"/>
      <c r="W130" s="443" t="n"/>
      <c r="X130" s="443" t="n"/>
      <c r="Y130" s="450" t="n"/>
      <c r="AB130" s="443" t="n"/>
      <c r="AF130" s="450" t="n"/>
      <c r="AH130" s="450" t="n"/>
      <c r="AI130" s="443" t="n"/>
      <c r="AK130" s="443" t="n"/>
      <c r="AM130" s="450" t="n"/>
      <c r="AN130" s="450" t="n"/>
      <c r="AP130" s="398" t="n"/>
      <c r="AQ130" s="286" t="n"/>
      <c r="AR130" s="450" t="n"/>
      <c r="AT130" s="450" t="n"/>
      <c r="AV130" s="450" t="n"/>
    </row>
    <row r="131">
      <c r="O131" s="443" t="n"/>
      <c r="P131" s="443" t="n"/>
      <c r="R131" s="450" t="n"/>
      <c r="S131" s="443" t="n"/>
      <c r="T131" s="443" t="n"/>
      <c r="U131" s="443" t="n"/>
      <c r="V131" s="463" t="n"/>
      <c r="W131" s="443" t="n"/>
      <c r="X131" s="443" t="n"/>
      <c r="Y131" s="450" t="n"/>
      <c r="AB131" s="443" t="n"/>
      <c r="AF131" s="450" t="n"/>
      <c r="AH131" s="450" t="n"/>
      <c r="AI131" s="443" t="n"/>
      <c r="AK131" s="443" t="n"/>
      <c r="AM131" s="450" t="n"/>
      <c r="AN131" s="450" t="n"/>
      <c r="AP131" s="398" t="n"/>
      <c r="AQ131" s="286" t="n"/>
      <c r="AR131" s="450" t="n"/>
      <c r="AT131" s="450" t="n"/>
      <c r="AV131" s="450" t="n"/>
    </row>
    <row r="132">
      <c r="O132" s="443" t="n"/>
      <c r="P132" s="443" t="n"/>
      <c r="R132" s="450" t="n"/>
      <c r="S132" s="443" t="n"/>
      <c r="T132" s="443" t="n"/>
      <c r="U132" s="443" t="n"/>
      <c r="V132" s="463" t="n"/>
      <c r="W132" s="443" t="n"/>
      <c r="X132" s="443" t="n"/>
      <c r="Y132" s="450" t="n"/>
      <c r="AB132" s="443" t="n"/>
      <c r="AF132" s="450" t="n"/>
      <c r="AH132" s="450" t="n"/>
      <c r="AI132" s="443" t="n"/>
      <c r="AK132" s="443" t="n"/>
      <c r="AM132" s="450" t="n"/>
      <c r="AN132" s="450" t="n"/>
      <c r="AP132" s="398" t="n"/>
      <c r="AQ132" s="286" t="n"/>
      <c r="AR132" s="450" t="n"/>
      <c r="AT132" s="450" t="n"/>
      <c r="AV132" s="450" t="n"/>
    </row>
    <row r="133">
      <c r="O133" s="443" t="n"/>
      <c r="P133" s="443" t="n"/>
      <c r="R133" s="450" t="n"/>
      <c r="S133" s="443" t="n"/>
      <c r="T133" s="443" t="n"/>
      <c r="U133" s="443" t="n"/>
      <c r="V133" s="463" t="n"/>
      <c r="W133" s="443" t="n"/>
      <c r="X133" s="443" t="n"/>
      <c r="Y133" s="450" t="n"/>
      <c r="AB133" s="443" t="n"/>
      <c r="AF133" s="450" t="n"/>
      <c r="AH133" s="450" t="n"/>
      <c r="AI133" s="443" t="n"/>
      <c r="AK133" s="443" t="n"/>
      <c r="AM133" s="450" t="n"/>
      <c r="AN133" s="450" t="n"/>
      <c r="AP133" s="398" t="n"/>
      <c r="AQ133" s="286" t="n"/>
      <c r="AR133" s="450" t="n"/>
      <c r="AT133" s="450" t="n"/>
      <c r="AV133" s="450" t="n"/>
    </row>
    <row r="134">
      <c r="O134" s="443" t="n"/>
      <c r="P134" s="443" t="n"/>
      <c r="R134" s="450" t="n"/>
      <c r="S134" s="443" t="n"/>
      <c r="T134" s="443" t="n"/>
      <c r="U134" s="443" t="n"/>
      <c r="V134" s="463" t="n"/>
      <c r="W134" s="443" t="n"/>
      <c r="X134" s="443" t="n"/>
      <c r="Y134" s="450" t="n"/>
      <c r="AB134" s="443" t="n"/>
      <c r="AF134" s="450" t="n"/>
      <c r="AH134" s="450" t="n"/>
      <c r="AI134" s="443" t="n"/>
      <c r="AK134" s="443" t="n"/>
      <c r="AM134" s="450" t="n"/>
      <c r="AN134" s="450" t="n"/>
      <c r="AP134" s="398" t="n"/>
      <c r="AQ134" s="286" t="n"/>
      <c r="AR134" s="450" t="n"/>
      <c r="AT134" s="450" t="n"/>
      <c r="AV134" s="450" t="n"/>
    </row>
    <row r="135">
      <c r="O135" s="443" t="n"/>
      <c r="P135" s="443" t="n"/>
      <c r="R135" s="450" t="n"/>
      <c r="S135" s="443" t="n"/>
      <c r="T135" s="443" t="n"/>
      <c r="U135" s="443" t="n"/>
      <c r="V135" s="463" t="n"/>
      <c r="W135" s="443" t="n"/>
      <c r="X135" s="443" t="n"/>
      <c r="Y135" s="450" t="n"/>
      <c r="AB135" s="443" t="n"/>
      <c r="AF135" s="450" t="n"/>
      <c r="AH135" s="450" t="n"/>
      <c r="AI135" s="443" t="n"/>
      <c r="AK135" s="443" t="n"/>
      <c r="AM135" s="450" t="n"/>
      <c r="AN135" s="450" t="n"/>
      <c r="AP135" s="398" t="n"/>
      <c r="AQ135" s="286" t="n"/>
      <c r="AR135" s="450" t="n"/>
      <c r="AT135" s="450" t="n"/>
      <c r="AV135" s="450" t="n"/>
    </row>
    <row r="136">
      <c r="O136" s="443" t="n"/>
      <c r="P136" s="443" t="n"/>
      <c r="R136" s="450" t="n"/>
      <c r="S136" s="443" t="n"/>
      <c r="T136" s="443" t="n"/>
      <c r="U136" s="443" t="n"/>
      <c r="V136" s="463" t="n"/>
      <c r="W136" s="443" t="n"/>
      <c r="X136" s="443" t="n"/>
      <c r="Y136" s="450" t="n"/>
      <c r="AB136" s="443" t="n"/>
      <c r="AF136" s="450" t="n"/>
      <c r="AH136" s="450" t="n"/>
      <c r="AI136" s="443" t="n"/>
      <c r="AK136" s="443" t="n"/>
      <c r="AM136" s="450" t="n"/>
      <c r="AN136" s="450" t="n"/>
      <c r="AP136" s="398" t="n"/>
      <c r="AQ136" s="286" t="n"/>
      <c r="AR136" s="450" t="n"/>
      <c r="AT136" s="450" t="n"/>
      <c r="AV136" s="450" t="n"/>
    </row>
    <row r="137">
      <c r="O137" s="443" t="n"/>
      <c r="P137" s="443" t="n"/>
      <c r="R137" s="450" t="n"/>
      <c r="S137" s="443" t="n"/>
      <c r="T137" s="443" t="n"/>
      <c r="U137" s="443" t="n"/>
      <c r="V137" s="463" t="n"/>
      <c r="W137" s="443" t="n"/>
      <c r="X137" s="443" t="n"/>
      <c r="Y137" s="450" t="n"/>
      <c r="AB137" s="443" t="n"/>
      <c r="AF137" s="450" t="n"/>
      <c r="AH137" s="450" t="n"/>
      <c r="AI137" s="443" t="n"/>
      <c r="AK137" s="443" t="n"/>
      <c r="AM137" s="450" t="n"/>
      <c r="AN137" s="450" t="n"/>
      <c r="AP137" s="398" t="n"/>
      <c r="AQ137" s="286" t="n"/>
      <c r="AR137" s="450" t="n"/>
      <c r="AT137" s="450" t="n"/>
      <c r="AV137" s="450" t="n"/>
    </row>
    <row r="138">
      <c r="O138" s="443" t="n"/>
      <c r="P138" s="443" t="n"/>
      <c r="R138" s="450" t="n"/>
      <c r="S138" s="443" t="n"/>
      <c r="T138" s="443" t="n"/>
      <c r="U138" s="443" t="n"/>
      <c r="V138" s="463" t="n"/>
      <c r="W138" s="443" t="n"/>
      <c r="X138" s="443" t="n"/>
      <c r="Y138" s="450" t="n"/>
      <c r="AB138" s="443" t="n"/>
      <c r="AF138" s="450" t="n"/>
      <c r="AH138" s="450" t="n"/>
      <c r="AI138" s="443" t="n"/>
      <c r="AK138" s="443" t="n"/>
      <c r="AM138" s="450" t="n"/>
      <c r="AN138" s="450" t="n"/>
      <c r="AP138" s="398" t="n"/>
      <c r="AQ138" s="286" t="n"/>
      <c r="AR138" s="450" t="n"/>
      <c r="AT138" s="450" t="n"/>
      <c r="AV138" s="450" t="n"/>
    </row>
    <row r="139">
      <c r="O139" s="443" t="n"/>
      <c r="P139" s="443" t="n"/>
      <c r="R139" s="450" t="n"/>
      <c r="S139" s="443" t="n"/>
      <c r="T139" s="443" t="n"/>
      <c r="U139" s="443" t="n"/>
      <c r="V139" s="463" t="n"/>
      <c r="W139" s="443" t="n"/>
      <c r="X139" s="443" t="n"/>
      <c r="Y139" s="450" t="n"/>
      <c r="AB139" s="443" t="n"/>
      <c r="AF139" s="450" t="n"/>
      <c r="AH139" s="450" t="n"/>
      <c r="AI139" s="443" t="n"/>
      <c r="AK139" s="443" t="n"/>
      <c r="AM139" s="450" t="n"/>
      <c r="AN139" s="450" t="n"/>
      <c r="AP139" s="398" t="n"/>
      <c r="AQ139" s="286" t="n"/>
      <c r="AR139" s="450" t="n"/>
      <c r="AT139" s="450" t="n"/>
      <c r="AV139" s="450" t="n"/>
    </row>
    <row r="140">
      <c r="O140" s="443" t="n"/>
      <c r="P140" s="443" t="n"/>
      <c r="R140" s="450" t="n"/>
      <c r="S140" s="443" t="n"/>
      <c r="T140" s="443" t="n"/>
      <c r="U140" s="443" t="n"/>
      <c r="V140" s="463" t="n"/>
      <c r="W140" s="443" t="n"/>
      <c r="X140" s="443" t="n"/>
      <c r="Y140" s="450" t="n"/>
      <c r="AB140" s="443" t="n"/>
      <c r="AF140" s="450" t="n"/>
      <c r="AH140" s="450" t="n"/>
      <c r="AI140" s="443" t="n"/>
      <c r="AK140" s="443" t="n"/>
      <c r="AM140" s="450" t="n"/>
      <c r="AN140" s="450" t="n"/>
      <c r="AP140" s="398" t="n"/>
      <c r="AQ140" s="286" t="n"/>
      <c r="AR140" s="450" t="n"/>
      <c r="AT140" s="450" t="n"/>
      <c r="AV140" s="450" t="n"/>
    </row>
    <row r="141">
      <c r="O141" s="443" t="n"/>
      <c r="P141" s="443" t="n"/>
      <c r="R141" s="450" t="n"/>
      <c r="S141" s="443" t="n"/>
      <c r="T141" s="443" t="n"/>
      <c r="U141" s="443" t="n"/>
      <c r="V141" s="463" t="n"/>
      <c r="W141" s="443" t="n"/>
      <c r="X141" s="443" t="n"/>
      <c r="Y141" s="450" t="n"/>
      <c r="AB141" s="443" t="n"/>
      <c r="AF141" s="450" t="n"/>
      <c r="AH141" s="450" t="n"/>
      <c r="AI141" s="443" t="n"/>
      <c r="AK141" s="443" t="n"/>
      <c r="AM141" s="450" t="n"/>
      <c r="AN141" s="450" t="n"/>
      <c r="AP141" s="398" t="n"/>
      <c r="AQ141" s="286" t="n"/>
      <c r="AR141" s="450" t="n"/>
      <c r="AT141" s="450" t="n"/>
      <c r="AV141" s="450" t="n"/>
    </row>
    <row r="142">
      <c r="O142" s="443" t="n"/>
      <c r="P142" s="443" t="n"/>
      <c r="R142" s="450" t="n"/>
      <c r="S142" s="443" t="n"/>
      <c r="T142" s="443" t="n"/>
      <c r="U142" s="443" t="n"/>
      <c r="V142" s="463" t="n"/>
      <c r="W142" s="443" t="n"/>
      <c r="X142" s="443" t="n"/>
      <c r="Y142" s="450" t="n"/>
      <c r="AB142" s="443" t="n"/>
      <c r="AF142" s="450" t="n"/>
      <c r="AH142" s="450" t="n"/>
      <c r="AI142" s="443" t="n"/>
      <c r="AK142" s="443" t="n"/>
      <c r="AM142" s="450" t="n"/>
      <c r="AN142" s="450" t="n"/>
      <c r="AP142" s="398" t="n"/>
      <c r="AQ142" s="286" t="n"/>
      <c r="AR142" s="450" t="n"/>
      <c r="AT142" s="450" t="n"/>
      <c r="AV142" s="450" t="n"/>
    </row>
    <row r="143">
      <c r="O143" s="443" t="n"/>
      <c r="P143" s="443" t="n"/>
      <c r="R143" s="450" t="n"/>
      <c r="S143" s="443" t="n"/>
      <c r="T143" s="443" t="n"/>
      <c r="U143" s="443" t="n"/>
      <c r="V143" s="463" t="n"/>
      <c r="W143" s="443" t="n"/>
      <c r="X143" s="443" t="n"/>
      <c r="Y143" s="450" t="n"/>
      <c r="AB143" s="443" t="n"/>
      <c r="AF143" s="450" t="n"/>
      <c r="AH143" s="450" t="n"/>
      <c r="AI143" s="443" t="n"/>
      <c r="AK143" s="443" t="n"/>
      <c r="AM143" s="450" t="n"/>
      <c r="AN143" s="450" t="n"/>
      <c r="AP143" s="398" t="n"/>
      <c r="AQ143" s="286" t="n"/>
      <c r="AR143" s="450" t="n"/>
      <c r="AT143" s="450" t="n"/>
      <c r="AV143" s="450" t="n"/>
    </row>
    <row r="144">
      <c r="O144" s="443" t="n"/>
      <c r="P144" s="443" t="n"/>
      <c r="R144" s="450" t="n"/>
      <c r="S144" s="443" t="n"/>
      <c r="T144" s="443" t="n"/>
      <c r="U144" s="443" t="n"/>
      <c r="V144" s="463" t="n"/>
      <c r="W144" s="443" t="n"/>
      <c r="X144" s="443" t="n"/>
      <c r="Y144" s="450" t="n"/>
      <c r="AB144" s="443" t="n"/>
      <c r="AF144" s="450" t="n"/>
      <c r="AH144" s="450" t="n"/>
      <c r="AI144" s="443" t="n"/>
      <c r="AK144" s="443" t="n"/>
      <c r="AM144" s="450" t="n"/>
      <c r="AN144" s="450" t="n"/>
      <c r="AP144" s="398" t="n"/>
      <c r="AQ144" s="286" t="n"/>
      <c r="AR144" s="450" t="n"/>
      <c r="AT144" s="450" t="n"/>
      <c r="AV144" s="450" t="n"/>
    </row>
    <row r="145">
      <c r="O145" s="443" t="n"/>
      <c r="P145" s="443" t="n"/>
      <c r="R145" s="450" t="n"/>
      <c r="S145" s="443" t="n"/>
      <c r="T145" s="443" t="n"/>
      <c r="U145" s="443" t="n"/>
      <c r="V145" s="463" t="n"/>
      <c r="W145" s="443" t="n"/>
      <c r="X145" s="443" t="n"/>
      <c r="Y145" s="450" t="n"/>
      <c r="AB145" s="443" t="n"/>
      <c r="AF145" s="450" t="n"/>
      <c r="AH145" s="450" t="n"/>
      <c r="AI145" s="443" t="n"/>
      <c r="AK145" s="443" t="n"/>
      <c r="AM145" s="450" t="n"/>
      <c r="AN145" s="450" t="n"/>
      <c r="AP145" s="398" t="n"/>
      <c r="AQ145" s="286" t="n"/>
      <c r="AR145" s="450" t="n"/>
      <c r="AT145" s="450" t="n"/>
      <c r="AV145" s="450" t="n"/>
    </row>
    <row r="146">
      <c r="O146" s="443" t="n"/>
      <c r="P146" s="443" t="n"/>
      <c r="R146" s="450" t="n"/>
      <c r="S146" s="443" t="n"/>
      <c r="T146" s="443" t="n"/>
      <c r="U146" s="443" t="n"/>
      <c r="V146" s="463" t="n"/>
      <c r="W146" s="443" t="n"/>
      <c r="X146" s="443" t="n"/>
      <c r="Y146" s="450" t="n"/>
      <c r="AB146" s="443" t="n"/>
      <c r="AF146" s="450" t="n"/>
      <c r="AH146" s="450" t="n"/>
      <c r="AI146" s="443" t="n"/>
      <c r="AK146" s="443" t="n"/>
      <c r="AM146" s="450" t="n"/>
      <c r="AN146" s="450" t="n"/>
      <c r="AP146" s="398" t="n"/>
      <c r="AQ146" s="286" t="n"/>
      <c r="AR146" s="450" t="n"/>
      <c r="AT146" s="450" t="n"/>
      <c r="AV146" s="450" t="n"/>
    </row>
    <row r="147">
      <c r="O147" s="443" t="n"/>
      <c r="P147" s="443" t="n"/>
      <c r="R147" s="450" t="n"/>
      <c r="S147" s="443" t="n"/>
      <c r="T147" s="443" t="n"/>
      <c r="U147" s="443" t="n"/>
      <c r="V147" s="463" t="n"/>
      <c r="W147" s="443" t="n"/>
      <c r="X147" s="443" t="n"/>
      <c r="Y147" s="450" t="n"/>
      <c r="AB147" s="443" t="n"/>
      <c r="AF147" s="450" t="n"/>
      <c r="AH147" s="450" t="n"/>
      <c r="AI147" s="443" t="n"/>
      <c r="AK147" s="443" t="n"/>
      <c r="AM147" s="450" t="n"/>
      <c r="AN147" s="450" t="n"/>
      <c r="AP147" s="398" t="n"/>
      <c r="AQ147" s="286" t="n"/>
      <c r="AR147" s="450" t="n"/>
      <c r="AT147" s="450" t="n"/>
      <c r="AV147" s="450" t="n"/>
    </row>
    <row r="148">
      <c r="O148" s="443" t="n"/>
      <c r="P148" s="443" t="n"/>
      <c r="R148" s="450" t="n"/>
      <c r="S148" s="443" t="n"/>
      <c r="T148" s="443" t="n"/>
      <c r="U148" s="443" t="n"/>
      <c r="V148" s="463" t="n"/>
      <c r="W148" s="443" t="n"/>
      <c r="X148" s="443" t="n"/>
      <c r="Y148" s="450" t="n"/>
      <c r="AB148" s="443" t="n"/>
      <c r="AF148" s="450" t="n"/>
      <c r="AH148" s="450" t="n"/>
      <c r="AI148" s="443" t="n"/>
      <c r="AK148" s="443" t="n"/>
      <c r="AM148" s="450" t="n"/>
      <c r="AN148" s="450" t="n"/>
      <c r="AP148" s="398" t="n"/>
      <c r="AQ148" s="286" t="n"/>
      <c r="AR148" s="450" t="n"/>
      <c r="AT148" s="450" t="n"/>
      <c r="AV148" s="450" t="n"/>
    </row>
    <row r="149">
      <c r="O149" s="443" t="n"/>
      <c r="P149" s="443" t="n"/>
      <c r="R149" s="450" t="n"/>
      <c r="S149" s="443" t="n"/>
      <c r="T149" s="443" t="n"/>
      <c r="U149" s="443" t="n"/>
      <c r="V149" s="463" t="n"/>
      <c r="W149" s="443" t="n"/>
      <c r="X149" s="443" t="n"/>
      <c r="Y149" s="450" t="n"/>
      <c r="AB149" s="443" t="n"/>
      <c r="AF149" s="450" t="n"/>
      <c r="AH149" s="450" t="n"/>
      <c r="AI149" s="443" t="n"/>
      <c r="AK149" s="443" t="n"/>
      <c r="AM149" s="450" t="n"/>
      <c r="AN149" s="450" t="n"/>
      <c r="AP149" s="398" t="n"/>
      <c r="AQ149" s="286" t="n"/>
      <c r="AR149" s="450" t="n"/>
      <c r="AT149" s="450" t="n"/>
      <c r="AV149" s="450" t="n"/>
    </row>
    <row r="150">
      <c r="O150" s="443" t="n"/>
      <c r="P150" s="443" t="n"/>
      <c r="R150" s="450" t="n"/>
      <c r="S150" s="443" t="n"/>
      <c r="T150" s="443" t="n"/>
      <c r="U150" s="443" t="n"/>
      <c r="V150" s="463" t="n"/>
      <c r="W150" s="443" t="n"/>
      <c r="X150" s="443" t="n"/>
      <c r="Y150" s="450" t="n"/>
      <c r="AB150" s="443" t="n"/>
      <c r="AF150" s="450" t="n"/>
      <c r="AH150" s="450" t="n"/>
      <c r="AI150" s="443" t="n"/>
      <c r="AK150" s="443" t="n"/>
      <c r="AM150" s="450" t="n"/>
      <c r="AN150" s="450" t="n"/>
      <c r="AP150" s="398" t="n"/>
      <c r="AQ150" s="286" t="n"/>
      <c r="AR150" s="450" t="n"/>
      <c r="AT150" s="450" t="n"/>
      <c r="AV150" s="450" t="n"/>
    </row>
    <row r="151">
      <c r="O151" s="443" t="n"/>
      <c r="P151" s="443" t="n"/>
      <c r="R151" s="450" t="n"/>
      <c r="S151" s="443" t="n"/>
      <c r="T151" s="443" t="n"/>
      <c r="U151" s="443" t="n"/>
      <c r="V151" s="463" t="n"/>
      <c r="W151" s="443" t="n"/>
      <c r="X151" s="443" t="n"/>
      <c r="Y151" s="450" t="n"/>
      <c r="AB151" s="443" t="n"/>
      <c r="AF151" s="450" t="n"/>
      <c r="AH151" s="450" t="n"/>
      <c r="AI151" s="443" t="n"/>
      <c r="AK151" s="443" t="n"/>
      <c r="AM151" s="450" t="n"/>
      <c r="AN151" s="450" t="n"/>
      <c r="AP151" s="398" t="n"/>
      <c r="AQ151" s="286" t="n"/>
      <c r="AR151" s="450" t="n"/>
      <c r="AT151" s="450" t="n"/>
      <c r="AV151" s="450" t="n"/>
    </row>
    <row r="152">
      <c r="O152" s="443" t="n"/>
      <c r="P152" s="443" t="n"/>
      <c r="R152" s="450" t="n"/>
      <c r="S152" s="443" t="n"/>
      <c r="T152" s="443" t="n"/>
      <c r="U152" s="443" t="n"/>
      <c r="V152" s="463" t="n"/>
      <c r="W152" s="443" t="n"/>
      <c r="X152" s="443" t="n"/>
      <c r="Y152" s="450" t="n"/>
      <c r="AB152" s="443" t="n"/>
      <c r="AF152" s="450" t="n"/>
      <c r="AH152" s="450" t="n"/>
      <c r="AI152" s="443" t="n"/>
      <c r="AK152" s="443" t="n"/>
      <c r="AM152" s="450" t="n"/>
      <c r="AN152" s="450" t="n"/>
      <c r="AP152" s="398" t="n"/>
      <c r="AQ152" s="286" t="n"/>
      <c r="AR152" s="450" t="n"/>
      <c r="AT152" s="450" t="n"/>
      <c r="AV152" s="450" t="n"/>
    </row>
    <row r="153">
      <c r="O153" s="443" t="n"/>
      <c r="P153" s="443" t="n"/>
      <c r="R153" s="450" t="n"/>
      <c r="S153" s="443" t="n"/>
      <c r="T153" s="443" t="n"/>
      <c r="U153" s="443" t="n"/>
      <c r="V153" s="463" t="n"/>
      <c r="W153" s="443" t="n"/>
      <c r="X153" s="443" t="n"/>
      <c r="Y153" s="450" t="n"/>
      <c r="AB153" s="443" t="n"/>
      <c r="AF153" s="450" t="n"/>
      <c r="AH153" s="450" t="n"/>
      <c r="AI153" s="443" t="n"/>
      <c r="AK153" s="443" t="n"/>
      <c r="AM153" s="450" t="n"/>
      <c r="AN153" s="450" t="n"/>
      <c r="AP153" s="398" t="n"/>
      <c r="AQ153" s="286" t="n"/>
      <c r="AR153" s="450" t="n"/>
      <c r="AT153" s="450" t="n"/>
      <c r="AV153" s="450" t="n"/>
    </row>
    <row r="154">
      <c r="O154" s="443" t="n"/>
      <c r="P154" s="443" t="n"/>
      <c r="R154" s="450" t="n"/>
      <c r="S154" s="443" t="n"/>
      <c r="T154" s="443" t="n"/>
      <c r="U154" s="443" t="n"/>
      <c r="V154" s="463" t="n"/>
      <c r="W154" s="443" t="n"/>
      <c r="X154" s="443" t="n"/>
      <c r="Y154" s="450" t="n"/>
      <c r="AB154" s="443" t="n"/>
      <c r="AF154" s="450" t="n"/>
      <c r="AH154" s="450" t="n"/>
      <c r="AI154" s="443" t="n"/>
      <c r="AK154" s="443" t="n"/>
      <c r="AM154" s="450" t="n"/>
      <c r="AN154" s="450" t="n"/>
      <c r="AP154" s="398" t="n"/>
      <c r="AQ154" s="286" t="n"/>
      <c r="AR154" s="450" t="n"/>
      <c r="AT154" s="450" t="n"/>
      <c r="AV154" s="450" t="n"/>
    </row>
    <row r="155">
      <c r="O155" s="443" t="n"/>
      <c r="P155" s="443" t="n"/>
      <c r="R155" s="450" t="n"/>
      <c r="S155" s="443" t="n"/>
      <c r="T155" s="443" t="n"/>
      <c r="U155" s="443" t="n"/>
      <c r="V155" s="463" t="n"/>
      <c r="W155" s="443" t="n"/>
      <c r="X155" s="443" t="n"/>
      <c r="Y155" s="450" t="n"/>
      <c r="AB155" s="443" t="n"/>
      <c r="AF155" s="450" t="n"/>
      <c r="AH155" s="450" t="n"/>
      <c r="AI155" s="443" t="n"/>
      <c r="AK155" s="443" t="n"/>
      <c r="AM155" s="450" t="n"/>
      <c r="AN155" s="450" t="n"/>
      <c r="AP155" s="398" t="n"/>
      <c r="AQ155" s="286" t="n"/>
      <c r="AR155" s="450" t="n"/>
      <c r="AT155" s="450" t="n"/>
      <c r="AV155" s="450" t="n"/>
    </row>
    <row r="156">
      <c r="O156" s="443" t="n"/>
      <c r="P156" s="443" t="n"/>
      <c r="R156" s="450" t="n"/>
      <c r="S156" s="443" t="n"/>
      <c r="T156" s="443" t="n"/>
      <c r="U156" s="443" t="n"/>
      <c r="V156" s="463" t="n"/>
      <c r="W156" s="443" t="n"/>
      <c r="X156" s="443" t="n"/>
      <c r="Y156" s="450" t="n"/>
      <c r="AB156" s="443" t="n"/>
      <c r="AF156" s="450" t="n"/>
      <c r="AH156" s="450" t="n"/>
      <c r="AI156" s="443" t="n"/>
      <c r="AK156" s="443" t="n"/>
      <c r="AM156" s="450" t="n"/>
      <c r="AN156" s="450" t="n"/>
      <c r="AP156" s="398" t="n"/>
      <c r="AQ156" s="286" t="n"/>
      <c r="AR156" s="450" t="n"/>
      <c r="AT156" s="450" t="n"/>
      <c r="AV156" s="450" t="n"/>
    </row>
    <row r="157">
      <c r="O157" s="443" t="n"/>
      <c r="P157" s="443" t="n"/>
      <c r="R157" s="450" t="n"/>
      <c r="S157" s="443" t="n"/>
      <c r="T157" s="443" t="n"/>
      <c r="U157" s="443" t="n"/>
      <c r="V157" s="463" t="n"/>
      <c r="W157" s="443" t="n"/>
      <c r="X157" s="443" t="n"/>
      <c r="Y157" s="450" t="n"/>
      <c r="AB157" s="443" t="n"/>
      <c r="AF157" s="450" t="n"/>
      <c r="AH157" s="450" t="n"/>
      <c r="AI157" s="443" t="n"/>
      <c r="AK157" s="443" t="n"/>
      <c r="AM157" s="450" t="n"/>
      <c r="AN157" s="450" t="n"/>
      <c r="AP157" s="398" t="n"/>
      <c r="AQ157" s="286" t="n"/>
      <c r="AR157" s="450" t="n"/>
      <c r="AT157" s="450" t="n"/>
      <c r="AV157" s="450" t="n"/>
    </row>
    <row r="158">
      <c r="O158" s="443" t="n"/>
      <c r="P158" s="443" t="n"/>
      <c r="R158" s="450" t="n"/>
      <c r="S158" s="443" t="n"/>
      <c r="T158" s="443" t="n"/>
      <c r="U158" s="443" t="n"/>
      <c r="V158" s="463" t="n"/>
      <c r="W158" s="443" t="n"/>
      <c r="X158" s="443" t="n"/>
      <c r="Y158" s="450" t="n"/>
      <c r="AB158" s="443" t="n"/>
      <c r="AF158" s="450" t="n"/>
      <c r="AH158" s="450" t="n"/>
      <c r="AI158" s="443" t="n"/>
      <c r="AK158" s="443" t="n"/>
      <c r="AM158" s="450" t="n"/>
      <c r="AN158" s="450" t="n"/>
      <c r="AP158" s="398" t="n"/>
      <c r="AQ158" s="286" t="n"/>
      <c r="AR158" s="450" t="n"/>
      <c r="AT158" s="450" t="n"/>
      <c r="AV158" s="450" t="n"/>
    </row>
    <row r="159">
      <c r="O159" s="443" t="n"/>
      <c r="P159" s="443" t="n"/>
      <c r="R159" s="450" t="n"/>
      <c r="S159" s="443" t="n"/>
      <c r="T159" s="443" t="n"/>
      <c r="U159" s="443" t="n"/>
      <c r="V159" s="463" t="n"/>
      <c r="W159" s="443" t="n"/>
      <c r="X159" s="443" t="n"/>
      <c r="Y159" s="450" t="n"/>
      <c r="AB159" s="443" t="n"/>
      <c r="AF159" s="450" t="n"/>
      <c r="AH159" s="450" t="n"/>
      <c r="AI159" s="443" t="n"/>
      <c r="AK159" s="443" t="n"/>
      <c r="AM159" s="450" t="n"/>
      <c r="AN159" s="450" t="n"/>
      <c r="AP159" s="398" t="n"/>
      <c r="AQ159" s="286" t="n"/>
      <c r="AR159" s="450" t="n"/>
      <c r="AT159" s="450" t="n"/>
      <c r="AV159" s="450" t="n"/>
    </row>
    <row r="160">
      <c r="O160" s="443" t="n"/>
      <c r="P160" s="443" t="n"/>
      <c r="R160" s="450" t="n"/>
      <c r="S160" s="443" t="n"/>
      <c r="T160" s="443" t="n"/>
      <c r="U160" s="443" t="n"/>
      <c r="V160" s="463" t="n"/>
      <c r="W160" s="443" t="n"/>
      <c r="X160" s="443" t="n"/>
      <c r="Y160" s="450" t="n"/>
      <c r="AB160" s="443" t="n"/>
      <c r="AF160" s="450" t="n"/>
      <c r="AH160" s="450" t="n"/>
      <c r="AI160" s="443" t="n"/>
      <c r="AK160" s="443" t="n"/>
      <c r="AM160" s="450" t="n"/>
      <c r="AN160" s="450" t="n"/>
      <c r="AP160" s="398" t="n"/>
      <c r="AQ160" s="286" t="n"/>
      <c r="AR160" s="450" t="n"/>
      <c r="AT160" s="450" t="n"/>
      <c r="AV160" s="450" t="n"/>
    </row>
    <row r="161">
      <c r="O161" s="443" t="n"/>
      <c r="P161" s="443" t="n"/>
      <c r="R161" s="450" t="n"/>
      <c r="S161" s="443" t="n"/>
      <c r="T161" s="443" t="n"/>
      <c r="U161" s="443" t="n"/>
      <c r="V161" s="463" t="n"/>
      <c r="W161" s="443" t="n"/>
      <c r="X161" s="443" t="n"/>
      <c r="Y161" s="450" t="n"/>
      <c r="AB161" s="443" t="n"/>
      <c r="AF161" s="450" t="n"/>
      <c r="AH161" s="450" t="n"/>
      <c r="AI161" s="443" t="n"/>
      <c r="AK161" s="443" t="n"/>
      <c r="AM161" s="450" t="n"/>
      <c r="AN161" s="450" t="n"/>
      <c r="AP161" s="398" t="n"/>
      <c r="AQ161" s="286" t="n"/>
      <c r="AR161" s="450" t="n"/>
      <c r="AT161" s="450" t="n"/>
      <c r="AV161" s="450" t="n"/>
    </row>
    <row r="162">
      <c r="O162" s="443" t="n"/>
      <c r="P162" s="443" t="n"/>
      <c r="R162" s="450" t="n"/>
      <c r="S162" s="443" t="n"/>
      <c r="T162" s="443" t="n"/>
      <c r="U162" s="443" t="n"/>
      <c r="V162" s="463" t="n"/>
      <c r="W162" s="443" t="n"/>
      <c r="X162" s="443" t="n"/>
      <c r="Y162" s="450" t="n"/>
      <c r="AB162" s="443" t="n"/>
      <c r="AF162" s="450" t="n"/>
      <c r="AH162" s="450" t="n"/>
      <c r="AI162" s="443" t="n"/>
      <c r="AK162" s="443" t="n"/>
      <c r="AM162" s="450" t="n"/>
      <c r="AN162" s="450" t="n"/>
      <c r="AP162" s="398" t="n"/>
      <c r="AQ162" s="286" t="n"/>
      <c r="AR162" s="450" t="n"/>
      <c r="AT162" s="450" t="n"/>
      <c r="AV162" s="450" t="n"/>
    </row>
    <row r="163">
      <c r="O163" s="443" t="n"/>
      <c r="P163" s="443" t="n"/>
      <c r="R163" s="450" t="n"/>
      <c r="S163" s="443" t="n"/>
      <c r="T163" s="443" t="n"/>
      <c r="U163" s="443" t="n"/>
      <c r="V163" s="463" t="n"/>
      <c r="W163" s="443" t="n"/>
      <c r="X163" s="443" t="n"/>
      <c r="Y163" s="450" t="n"/>
      <c r="AB163" s="443" t="n"/>
      <c r="AF163" s="450" t="n"/>
      <c r="AH163" s="450" t="n"/>
      <c r="AI163" s="443" t="n"/>
      <c r="AK163" s="443" t="n"/>
      <c r="AM163" s="450" t="n"/>
      <c r="AN163" s="450" t="n"/>
      <c r="AP163" s="398" t="n"/>
      <c r="AQ163" s="286" t="n"/>
      <c r="AR163" s="450" t="n"/>
      <c r="AT163" s="450" t="n"/>
      <c r="AV163" s="450" t="n"/>
    </row>
    <row r="164">
      <c r="O164" s="443" t="n"/>
      <c r="P164" s="443" t="n"/>
      <c r="R164" s="450" t="n"/>
      <c r="S164" s="443" t="n"/>
      <c r="T164" s="443" t="n"/>
      <c r="U164" s="443" t="n"/>
      <c r="V164" s="463" t="n"/>
      <c r="W164" s="443" t="n"/>
      <c r="X164" s="443" t="n"/>
      <c r="Y164" s="450" t="n"/>
      <c r="AB164" s="443" t="n"/>
      <c r="AF164" s="450" t="n"/>
      <c r="AH164" s="450" t="n"/>
      <c r="AI164" s="443" t="n"/>
      <c r="AK164" s="443" t="n"/>
      <c r="AM164" s="450" t="n"/>
      <c r="AN164" s="450" t="n"/>
      <c r="AP164" s="398" t="n"/>
      <c r="AQ164" s="286" t="n"/>
      <c r="AR164" s="450" t="n"/>
      <c r="AT164" s="450" t="n"/>
      <c r="AV164" s="450" t="n"/>
    </row>
    <row r="165">
      <c r="O165" s="443" t="n"/>
      <c r="P165" s="443" t="n"/>
      <c r="R165" s="450" t="n"/>
      <c r="S165" s="443" t="n"/>
      <c r="T165" s="443" t="n"/>
      <c r="U165" s="443" t="n"/>
      <c r="V165" s="463" t="n"/>
      <c r="W165" s="443" t="n"/>
      <c r="X165" s="443" t="n"/>
      <c r="Y165" s="450" t="n"/>
      <c r="AB165" s="443" t="n"/>
      <c r="AF165" s="450" t="n"/>
      <c r="AH165" s="450" t="n"/>
      <c r="AI165" s="443" t="n"/>
      <c r="AK165" s="443" t="n"/>
      <c r="AM165" s="450" t="n"/>
      <c r="AN165" s="450" t="n"/>
      <c r="AP165" s="398" t="n"/>
      <c r="AQ165" s="286" t="n"/>
      <c r="AR165" s="450" t="n"/>
      <c r="AT165" s="450" t="n"/>
      <c r="AV165" s="450" t="n"/>
    </row>
    <row r="166">
      <c r="O166" s="443" t="n"/>
      <c r="P166" s="443" t="n"/>
      <c r="R166" s="450" t="n"/>
      <c r="S166" s="443" t="n"/>
      <c r="T166" s="443" t="n"/>
      <c r="U166" s="443" t="n"/>
      <c r="V166" s="463" t="n"/>
      <c r="W166" s="443" t="n"/>
      <c r="X166" s="443" t="n"/>
      <c r="Y166" s="450" t="n"/>
      <c r="AB166" s="443" t="n"/>
      <c r="AF166" s="450" t="n"/>
      <c r="AH166" s="450" t="n"/>
      <c r="AI166" s="443" t="n"/>
      <c r="AK166" s="443" t="n"/>
      <c r="AM166" s="450" t="n"/>
      <c r="AN166" s="450" t="n"/>
      <c r="AP166" s="398" t="n"/>
      <c r="AQ166" s="286" t="n"/>
      <c r="AR166" s="450" t="n"/>
      <c r="AT166" s="450" t="n"/>
      <c r="AV166" s="450" t="n"/>
    </row>
    <row r="167">
      <c r="O167" s="443" t="n"/>
      <c r="P167" s="443" t="n"/>
      <c r="R167" s="450" t="n"/>
      <c r="S167" s="443" t="n"/>
      <c r="T167" s="443" t="n"/>
      <c r="U167" s="443" t="n"/>
      <c r="V167" s="463" t="n"/>
      <c r="W167" s="443" t="n"/>
      <c r="X167" s="443" t="n"/>
      <c r="Y167" s="450" t="n"/>
      <c r="AB167" s="443" t="n"/>
      <c r="AF167" s="450" t="n"/>
      <c r="AH167" s="450" t="n"/>
      <c r="AI167" s="443" t="n"/>
      <c r="AK167" s="443" t="n"/>
      <c r="AM167" s="450" t="n"/>
      <c r="AN167" s="450" t="n"/>
      <c r="AP167" s="398" t="n"/>
      <c r="AQ167" s="286" t="n"/>
      <c r="AR167" s="450" t="n"/>
      <c r="AT167" s="450" t="n"/>
      <c r="AV167" s="450" t="n"/>
    </row>
    <row r="168">
      <c r="O168" s="443" t="n"/>
      <c r="P168" s="443" t="n"/>
      <c r="R168" s="450" t="n"/>
      <c r="S168" s="443" t="n"/>
      <c r="T168" s="443" t="n"/>
      <c r="U168" s="443" t="n"/>
      <c r="V168" s="463" t="n"/>
      <c r="W168" s="443" t="n"/>
      <c r="X168" s="443" t="n"/>
      <c r="Y168" s="450" t="n"/>
      <c r="AB168" s="443" t="n"/>
      <c r="AF168" s="450" t="n"/>
      <c r="AH168" s="450" t="n"/>
      <c r="AI168" s="443" t="n"/>
      <c r="AK168" s="443" t="n"/>
      <c r="AM168" s="450" t="n"/>
      <c r="AN168" s="450" t="n"/>
      <c r="AP168" s="398" t="n"/>
      <c r="AQ168" s="286" t="n"/>
      <c r="AR168" s="450" t="n"/>
      <c r="AT168" s="450" t="n"/>
      <c r="AV168" s="450" t="n"/>
    </row>
    <row r="169">
      <c r="O169" s="443" t="n"/>
      <c r="P169" s="443" t="n"/>
      <c r="R169" s="450" t="n"/>
      <c r="S169" s="443" t="n"/>
      <c r="T169" s="443" t="n"/>
      <c r="U169" s="443" t="n"/>
      <c r="V169" s="463" t="n"/>
      <c r="W169" s="443" t="n"/>
      <c r="X169" s="443" t="n"/>
      <c r="Y169" s="450" t="n"/>
      <c r="AB169" s="443" t="n"/>
      <c r="AF169" s="450" t="n"/>
      <c r="AH169" s="450" t="n"/>
      <c r="AI169" s="443" t="n"/>
      <c r="AK169" s="443" t="n"/>
      <c r="AM169" s="450" t="n"/>
      <c r="AN169" s="450" t="n"/>
      <c r="AP169" s="398" t="n"/>
      <c r="AQ169" s="286" t="n"/>
      <c r="AR169" s="450" t="n"/>
      <c r="AT169" s="450" t="n"/>
      <c r="AV169" s="450" t="n"/>
    </row>
    <row r="170">
      <c r="O170" s="443" t="n"/>
      <c r="P170" s="443" t="n"/>
      <c r="R170" s="450" t="n"/>
      <c r="S170" s="443" t="n"/>
      <c r="T170" s="443" t="n"/>
      <c r="U170" s="443" t="n"/>
      <c r="V170" s="463" t="n"/>
      <c r="W170" s="443" t="n"/>
      <c r="X170" s="443" t="n"/>
      <c r="Y170" s="450" t="n"/>
      <c r="AB170" s="443" t="n"/>
      <c r="AF170" s="450" t="n"/>
      <c r="AH170" s="450" t="n"/>
      <c r="AI170" s="443" t="n"/>
      <c r="AK170" s="443" t="n"/>
      <c r="AM170" s="450" t="n"/>
      <c r="AN170" s="450" t="n"/>
      <c r="AP170" s="398" t="n"/>
      <c r="AQ170" s="286" t="n"/>
      <c r="AR170" s="450" t="n"/>
      <c r="AT170" s="450" t="n"/>
      <c r="AV170" s="450" t="n"/>
    </row>
    <row r="171">
      <c r="O171" s="443" t="n"/>
      <c r="P171" s="443" t="n"/>
      <c r="R171" s="450" t="n"/>
      <c r="S171" s="443" t="n"/>
      <c r="T171" s="443" t="n"/>
      <c r="U171" s="443" t="n"/>
      <c r="V171" s="463" t="n"/>
      <c r="W171" s="443" t="n"/>
      <c r="X171" s="443" t="n"/>
      <c r="Y171" s="450" t="n"/>
      <c r="AB171" s="443" t="n"/>
      <c r="AF171" s="450" t="n"/>
      <c r="AH171" s="450" t="n"/>
      <c r="AI171" s="443" t="n"/>
      <c r="AK171" s="443" t="n"/>
      <c r="AM171" s="450" t="n"/>
      <c r="AN171" s="450" t="n"/>
      <c r="AP171" s="398" t="n"/>
      <c r="AQ171" s="286" t="n"/>
      <c r="AR171" s="450" t="n"/>
      <c r="AT171" s="450" t="n"/>
      <c r="AV171" s="450" t="n"/>
    </row>
    <row r="172">
      <c r="O172" s="443" t="n"/>
      <c r="P172" s="443" t="n"/>
      <c r="R172" s="450" t="n"/>
      <c r="S172" s="443" t="n"/>
      <c r="T172" s="443" t="n"/>
      <c r="U172" s="443" t="n"/>
      <c r="V172" s="463" t="n"/>
      <c r="W172" s="443" t="n"/>
      <c r="X172" s="443" t="n"/>
      <c r="Y172" s="450" t="n"/>
      <c r="AB172" s="443" t="n"/>
      <c r="AF172" s="450" t="n"/>
      <c r="AH172" s="450" t="n"/>
      <c r="AI172" s="443" t="n"/>
      <c r="AK172" s="443" t="n"/>
      <c r="AM172" s="450" t="n"/>
      <c r="AN172" s="450" t="n"/>
      <c r="AP172" s="398" t="n"/>
      <c r="AQ172" s="286" t="n"/>
      <c r="AR172" s="450" t="n"/>
      <c r="AT172" s="450" t="n"/>
      <c r="AV172" s="450" t="n"/>
    </row>
    <row r="173">
      <c r="O173" s="443" t="n"/>
      <c r="P173" s="443" t="n"/>
      <c r="R173" s="450" t="n"/>
      <c r="S173" s="443" t="n"/>
      <c r="T173" s="443" t="n"/>
      <c r="U173" s="443" t="n"/>
      <c r="V173" s="463" t="n"/>
      <c r="W173" s="443" t="n"/>
      <c r="X173" s="443" t="n"/>
      <c r="Y173" s="450" t="n"/>
      <c r="AB173" s="443" t="n"/>
      <c r="AF173" s="450" t="n"/>
      <c r="AH173" s="450" t="n"/>
      <c r="AI173" s="443" t="n"/>
      <c r="AK173" s="443" t="n"/>
      <c r="AM173" s="450" t="n"/>
      <c r="AN173" s="450" t="n"/>
      <c r="AP173" s="398" t="n"/>
      <c r="AQ173" s="286" t="n"/>
      <c r="AR173" s="450" t="n"/>
      <c r="AT173" s="450" t="n"/>
      <c r="AV173" s="450" t="n"/>
    </row>
    <row r="174">
      <c r="O174" s="443" t="n"/>
      <c r="P174" s="443" t="n"/>
      <c r="R174" s="450" t="n"/>
      <c r="S174" s="443" t="n"/>
      <c r="T174" s="443" t="n"/>
      <c r="U174" s="443" t="n"/>
      <c r="V174" s="463" t="n"/>
      <c r="W174" s="443" t="n"/>
      <c r="X174" s="443" t="n"/>
      <c r="Y174" s="450" t="n"/>
      <c r="AB174" s="443" t="n"/>
      <c r="AF174" s="450" t="n"/>
      <c r="AH174" s="450" t="n"/>
      <c r="AI174" s="443" t="n"/>
      <c r="AK174" s="443" t="n"/>
      <c r="AM174" s="450" t="n"/>
      <c r="AN174" s="450" t="n"/>
      <c r="AP174" s="398" t="n"/>
      <c r="AQ174" s="286" t="n"/>
      <c r="AR174" s="450" t="n"/>
      <c r="AT174" s="450" t="n"/>
      <c r="AV174" s="450" t="n"/>
    </row>
    <row r="175">
      <c r="O175" s="443" t="n"/>
      <c r="P175" s="443" t="n"/>
      <c r="R175" s="450" t="n"/>
      <c r="S175" s="443" t="n"/>
      <c r="T175" s="443" t="n"/>
      <c r="U175" s="443" t="n"/>
      <c r="V175" s="463" t="n"/>
      <c r="W175" s="443" t="n"/>
      <c r="X175" s="443" t="n"/>
      <c r="Y175" s="450" t="n"/>
      <c r="AB175" s="443" t="n"/>
      <c r="AF175" s="450" t="n"/>
      <c r="AH175" s="450" t="n"/>
      <c r="AI175" s="443" t="n"/>
      <c r="AK175" s="443" t="n"/>
      <c r="AM175" s="450" t="n"/>
      <c r="AN175" s="450" t="n"/>
      <c r="AP175" s="398" t="n"/>
      <c r="AQ175" s="286" t="n"/>
      <c r="AR175" s="450" t="n"/>
      <c r="AT175" s="450" t="n"/>
      <c r="AV175" s="450" t="n"/>
    </row>
    <row r="176">
      <c r="O176" s="443" t="n"/>
      <c r="P176" s="443" t="n"/>
      <c r="R176" s="450" t="n"/>
      <c r="S176" s="443" t="n"/>
      <c r="T176" s="443" t="n"/>
      <c r="U176" s="443" t="n"/>
      <c r="V176" s="463" t="n"/>
      <c r="W176" s="443" t="n"/>
      <c r="X176" s="443" t="n"/>
      <c r="Y176" s="450" t="n"/>
      <c r="AB176" s="443" t="n"/>
      <c r="AF176" s="450" t="n"/>
      <c r="AH176" s="450" t="n"/>
      <c r="AI176" s="443" t="n"/>
      <c r="AK176" s="443" t="n"/>
      <c r="AM176" s="450" t="n"/>
      <c r="AN176" s="450" t="n"/>
      <c r="AP176" s="398" t="n"/>
      <c r="AQ176" s="286" t="n"/>
      <c r="AR176" s="450" t="n"/>
      <c r="AT176" s="450" t="n"/>
      <c r="AV176" s="450" t="n"/>
    </row>
    <row r="177">
      <c r="O177" s="443" t="n"/>
      <c r="P177" s="443" t="n"/>
      <c r="R177" s="450" t="n"/>
      <c r="S177" s="443" t="n"/>
      <c r="T177" s="443" t="n"/>
      <c r="U177" s="443" t="n"/>
      <c r="V177" s="463" t="n"/>
      <c r="W177" s="443" t="n"/>
      <c r="X177" s="443" t="n"/>
      <c r="Y177" s="450" t="n"/>
      <c r="AB177" s="443" t="n"/>
      <c r="AF177" s="450" t="n"/>
      <c r="AH177" s="450" t="n"/>
      <c r="AI177" s="443" t="n"/>
      <c r="AK177" s="443" t="n"/>
      <c r="AM177" s="450" t="n"/>
      <c r="AN177" s="450" t="n"/>
      <c r="AP177" s="398" t="n"/>
      <c r="AQ177" s="286" t="n"/>
      <c r="AR177" s="450" t="n"/>
      <c r="AT177" s="450" t="n"/>
      <c r="AV177" s="450" t="n"/>
    </row>
    <row r="178">
      <c r="O178" s="443" t="n"/>
      <c r="P178" s="443" t="n"/>
      <c r="R178" s="450" t="n"/>
      <c r="S178" s="443" t="n"/>
      <c r="T178" s="443" t="n"/>
      <c r="U178" s="443" t="n"/>
      <c r="V178" s="463" t="n"/>
      <c r="W178" s="443" t="n"/>
      <c r="X178" s="443" t="n"/>
      <c r="Y178" s="450" t="n"/>
      <c r="AB178" s="443" t="n"/>
      <c r="AF178" s="450" t="n"/>
      <c r="AH178" s="450" t="n"/>
      <c r="AI178" s="443" t="n"/>
      <c r="AK178" s="443" t="n"/>
      <c r="AM178" s="450" t="n"/>
      <c r="AN178" s="450" t="n"/>
      <c r="AP178" s="398" t="n"/>
      <c r="AQ178" s="286" t="n"/>
      <c r="AR178" s="450" t="n"/>
      <c r="AT178" s="450" t="n"/>
      <c r="AV178" s="450" t="n"/>
    </row>
    <row r="179">
      <c r="O179" s="443" t="n"/>
      <c r="P179" s="443" t="n"/>
      <c r="R179" s="450" t="n"/>
      <c r="S179" s="443" t="n"/>
      <c r="T179" s="443" t="n"/>
      <c r="U179" s="443" t="n"/>
      <c r="V179" s="463" t="n"/>
      <c r="W179" s="443" t="n"/>
      <c r="X179" s="443" t="n"/>
      <c r="Y179" s="450" t="n"/>
      <c r="AB179" s="443" t="n"/>
      <c r="AF179" s="450" t="n"/>
      <c r="AH179" s="450" t="n"/>
      <c r="AI179" s="443" t="n"/>
      <c r="AK179" s="443" t="n"/>
      <c r="AM179" s="450" t="n"/>
      <c r="AN179" s="450" t="n"/>
      <c r="AP179" s="398" t="n"/>
      <c r="AQ179" s="286" t="n"/>
      <c r="AR179" s="450" t="n"/>
      <c r="AT179" s="450" t="n"/>
      <c r="AV179" s="450" t="n"/>
    </row>
    <row r="180">
      <c r="O180" s="443" t="n"/>
      <c r="P180" s="443" t="n"/>
      <c r="R180" s="450" t="n"/>
      <c r="S180" s="443" t="n"/>
      <c r="T180" s="443" t="n"/>
      <c r="U180" s="443" t="n"/>
      <c r="V180" s="463" t="n"/>
      <c r="W180" s="443" t="n"/>
      <c r="X180" s="443" t="n"/>
      <c r="Y180" s="450" t="n"/>
      <c r="AB180" s="443" t="n"/>
      <c r="AF180" s="450" t="n"/>
      <c r="AH180" s="450" t="n"/>
      <c r="AI180" s="443" t="n"/>
      <c r="AK180" s="443" t="n"/>
      <c r="AM180" s="450" t="n"/>
      <c r="AN180" s="450" t="n"/>
      <c r="AP180" s="398" t="n"/>
      <c r="AQ180" s="286" t="n"/>
      <c r="AR180" s="450" t="n"/>
      <c r="AT180" s="450" t="n"/>
      <c r="AV180" s="450" t="n"/>
    </row>
    <row r="181">
      <c r="O181" s="443" t="n"/>
      <c r="P181" s="443" t="n"/>
      <c r="R181" s="450" t="n"/>
      <c r="S181" s="443" t="n"/>
      <c r="T181" s="443" t="n"/>
      <c r="U181" s="443" t="n"/>
      <c r="V181" s="463" t="n"/>
      <c r="W181" s="443" t="n"/>
      <c r="X181" s="443" t="n"/>
      <c r="Y181" s="450" t="n"/>
      <c r="AB181" s="443" t="n"/>
      <c r="AF181" s="450" t="n"/>
      <c r="AH181" s="450" t="n"/>
      <c r="AI181" s="443" t="n"/>
      <c r="AK181" s="443" t="n"/>
      <c r="AM181" s="450" t="n"/>
      <c r="AN181" s="450" t="n"/>
      <c r="AP181" s="398" t="n"/>
      <c r="AQ181" s="286" t="n"/>
      <c r="AR181" s="450" t="n"/>
      <c r="AT181" s="450" t="n"/>
      <c r="AV181" s="450" t="n"/>
    </row>
    <row r="182">
      <c r="O182" s="443" t="n"/>
      <c r="P182" s="443" t="n"/>
      <c r="R182" s="450" t="n"/>
      <c r="S182" s="443" t="n"/>
      <c r="T182" s="443" t="n"/>
      <c r="U182" s="443" t="n"/>
      <c r="V182" s="463" t="n"/>
      <c r="W182" s="443" t="n"/>
      <c r="X182" s="443" t="n"/>
      <c r="Y182" s="450" t="n"/>
      <c r="AB182" s="443" t="n"/>
      <c r="AF182" s="450" t="n"/>
      <c r="AH182" s="450" t="n"/>
      <c r="AI182" s="443" t="n"/>
      <c r="AK182" s="443" t="n"/>
      <c r="AM182" s="450" t="n"/>
      <c r="AN182" s="450" t="n"/>
      <c r="AP182" s="398" t="n"/>
      <c r="AQ182" s="286" t="n"/>
      <c r="AR182" s="450" t="n"/>
      <c r="AT182" s="450" t="n"/>
      <c r="AV182" s="450" t="n"/>
    </row>
    <row r="183">
      <c r="O183" s="443" t="n"/>
      <c r="P183" s="443" t="n"/>
      <c r="R183" s="450" t="n"/>
      <c r="S183" s="443" t="n"/>
      <c r="T183" s="443" t="n"/>
      <c r="U183" s="443" t="n"/>
      <c r="V183" s="463" t="n"/>
      <c r="W183" s="443" t="n"/>
      <c r="X183" s="443" t="n"/>
      <c r="Y183" s="450" t="n"/>
      <c r="AB183" s="443" t="n"/>
      <c r="AF183" s="450" t="n"/>
      <c r="AH183" s="450" t="n"/>
      <c r="AI183" s="443" t="n"/>
      <c r="AK183" s="443" t="n"/>
      <c r="AM183" s="450" t="n"/>
      <c r="AN183" s="450" t="n"/>
      <c r="AP183" s="398" t="n"/>
      <c r="AQ183" s="286" t="n"/>
      <c r="AR183" s="450" t="n"/>
      <c r="AT183" s="450" t="n"/>
      <c r="AV183" s="450" t="n"/>
    </row>
    <row r="184">
      <c r="O184" s="443" t="n"/>
      <c r="P184" s="443" t="n"/>
      <c r="R184" s="450" t="n"/>
      <c r="S184" s="443" t="n"/>
      <c r="T184" s="443" t="n"/>
      <c r="U184" s="443" t="n"/>
      <c r="V184" s="463" t="n"/>
      <c r="W184" s="443" t="n"/>
      <c r="X184" s="443" t="n"/>
      <c r="Y184" s="450" t="n"/>
      <c r="AB184" s="443" t="n"/>
      <c r="AF184" s="450" t="n"/>
      <c r="AH184" s="450" t="n"/>
      <c r="AI184" s="443" t="n"/>
      <c r="AK184" s="443" t="n"/>
      <c r="AM184" s="450" t="n"/>
      <c r="AN184" s="450" t="n"/>
      <c r="AP184" s="398" t="n"/>
      <c r="AQ184" s="286" t="n"/>
      <c r="AR184" s="450" t="n"/>
      <c r="AT184" s="450" t="n"/>
      <c r="AV184" s="450" t="n"/>
    </row>
    <row r="185">
      <c r="O185" s="443" t="n"/>
      <c r="P185" s="443" t="n"/>
      <c r="R185" s="450" t="n"/>
      <c r="S185" s="443" t="n"/>
      <c r="T185" s="443" t="n"/>
      <c r="U185" s="443" t="n"/>
      <c r="V185" s="463" t="n"/>
      <c r="W185" s="443" t="n"/>
      <c r="X185" s="443" t="n"/>
      <c r="Y185" s="450" t="n"/>
      <c r="AB185" s="443" t="n"/>
      <c r="AF185" s="450" t="n"/>
      <c r="AH185" s="450" t="n"/>
      <c r="AI185" s="443" t="n"/>
      <c r="AK185" s="443" t="n"/>
      <c r="AM185" s="450" t="n"/>
      <c r="AN185" s="450" t="n"/>
      <c r="AP185" s="398" t="n"/>
      <c r="AQ185" s="286" t="n"/>
      <c r="AR185" s="450" t="n"/>
      <c r="AT185" s="450" t="n"/>
      <c r="AV185" s="450" t="n"/>
    </row>
    <row r="186">
      <c r="O186" s="443" t="n"/>
      <c r="P186" s="443" t="n"/>
      <c r="R186" s="450" t="n"/>
      <c r="S186" s="443" t="n"/>
      <c r="T186" s="443" t="n"/>
      <c r="U186" s="443" t="n"/>
      <c r="V186" s="463" t="n"/>
      <c r="W186" s="443" t="n"/>
      <c r="X186" s="443" t="n"/>
      <c r="Y186" s="450" t="n"/>
      <c r="AB186" s="443" t="n"/>
      <c r="AF186" s="450" t="n"/>
      <c r="AH186" s="450" t="n"/>
      <c r="AI186" s="443" t="n"/>
      <c r="AK186" s="443" t="n"/>
      <c r="AM186" s="450" t="n"/>
      <c r="AN186" s="450" t="n"/>
      <c r="AP186" s="398" t="n"/>
      <c r="AQ186" s="286" t="n"/>
      <c r="AR186" s="450" t="n"/>
      <c r="AT186" s="450" t="n"/>
      <c r="AV186" s="450" t="n"/>
    </row>
    <row r="187">
      <c r="O187" s="443" t="n"/>
      <c r="P187" s="443" t="n"/>
      <c r="R187" s="450" t="n"/>
      <c r="S187" s="443" t="n"/>
      <c r="T187" s="443" t="n"/>
      <c r="U187" s="443" t="n"/>
      <c r="V187" s="463" t="n"/>
      <c r="W187" s="443" t="n"/>
      <c r="X187" s="443" t="n"/>
      <c r="Y187" s="450" t="n"/>
      <c r="AB187" s="443" t="n"/>
      <c r="AF187" s="450" t="n"/>
      <c r="AH187" s="450" t="n"/>
      <c r="AI187" s="443" t="n"/>
      <c r="AK187" s="443" t="n"/>
      <c r="AM187" s="450" t="n"/>
      <c r="AN187" s="450" t="n"/>
      <c r="AP187" s="398" t="n"/>
      <c r="AQ187" s="286" t="n"/>
      <c r="AR187" s="450" t="n"/>
      <c r="AT187" s="450" t="n"/>
      <c r="AV187" s="450" t="n"/>
    </row>
    <row r="188">
      <c r="O188" s="443" t="n"/>
      <c r="P188" s="443" t="n"/>
      <c r="R188" s="450" t="n"/>
      <c r="S188" s="443" t="n"/>
      <c r="T188" s="443" t="n"/>
      <c r="U188" s="443" t="n"/>
      <c r="V188" s="463" t="n"/>
      <c r="W188" s="443" t="n"/>
      <c r="X188" s="443" t="n"/>
      <c r="Y188" s="450" t="n"/>
      <c r="AB188" s="443" t="n"/>
      <c r="AF188" s="450" t="n"/>
      <c r="AH188" s="450" t="n"/>
      <c r="AI188" s="443" t="n"/>
      <c r="AK188" s="443" t="n"/>
      <c r="AM188" s="450" t="n"/>
      <c r="AN188" s="450" t="n"/>
      <c r="AP188" s="398" t="n"/>
      <c r="AQ188" s="286" t="n"/>
      <c r="AR188" s="450" t="n"/>
      <c r="AT188" s="450" t="n"/>
      <c r="AV188" s="450" t="n"/>
    </row>
    <row r="189">
      <c r="O189" s="443" t="n"/>
      <c r="P189" s="443" t="n"/>
      <c r="R189" s="450" t="n"/>
      <c r="S189" s="443" t="n"/>
      <c r="T189" s="443" t="n"/>
      <c r="U189" s="443" t="n"/>
      <c r="V189" s="463" t="n"/>
      <c r="W189" s="443" t="n"/>
      <c r="X189" s="443" t="n"/>
      <c r="Y189" s="450" t="n"/>
      <c r="AB189" s="443" t="n"/>
      <c r="AF189" s="450" t="n"/>
      <c r="AH189" s="450" t="n"/>
      <c r="AI189" s="443" t="n"/>
      <c r="AK189" s="443" t="n"/>
      <c r="AM189" s="450" t="n"/>
      <c r="AN189" s="450" t="n"/>
      <c r="AP189" s="398" t="n"/>
      <c r="AQ189" s="286" t="n"/>
      <c r="AR189" s="450" t="n"/>
      <c r="AT189" s="450" t="n"/>
      <c r="AV189" s="450" t="n"/>
    </row>
    <row r="190">
      <c r="O190" s="443" t="n"/>
      <c r="P190" s="443" t="n"/>
      <c r="R190" s="450" t="n"/>
      <c r="S190" s="443" t="n"/>
      <c r="T190" s="443" t="n"/>
      <c r="U190" s="443" t="n"/>
      <c r="V190" s="463" t="n"/>
      <c r="W190" s="443" t="n"/>
      <c r="X190" s="443" t="n"/>
      <c r="Y190" s="450" t="n"/>
      <c r="AB190" s="443" t="n"/>
      <c r="AF190" s="450" t="n"/>
      <c r="AH190" s="450" t="n"/>
      <c r="AI190" s="443" t="n"/>
      <c r="AK190" s="443" t="n"/>
      <c r="AM190" s="450" t="n"/>
      <c r="AN190" s="450" t="n"/>
      <c r="AP190" s="398" t="n"/>
      <c r="AQ190" s="286" t="n"/>
      <c r="AR190" s="450" t="n"/>
      <c r="AT190" s="450" t="n"/>
      <c r="AV190" s="450" t="n"/>
    </row>
    <row r="191">
      <c r="O191" s="443" t="n"/>
      <c r="P191" s="443" t="n"/>
      <c r="R191" s="450" t="n"/>
      <c r="S191" s="443" t="n"/>
      <c r="T191" s="443" t="n"/>
      <c r="U191" s="443" t="n"/>
      <c r="V191" s="463" t="n"/>
      <c r="W191" s="443" t="n"/>
      <c r="X191" s="443" t="n"/>
      <c r="Y191" s="450" t="n"/>
      <c r="AB191" s="443" t="n"/>
      <c r="AF191" s="450" t="n"/>
      <c r="AH191" s="450" t="n"/>
      <c r="AI191" s="443" t="n"/>
      <c r="AK191" s="443" t="n"/>
      <c r="AM191" s="450" t="n"/>
      <c r="AN191" s="450" t="n"/>
      <c r="AP191" s="398" t="n"/>
      <c r="AQ191" s="286" t="n"/>
      <c r="AR191" s="450" t="n"/>
      <c r="AT191" s="450" t="n"/>
      <c r="AV191" s="450" t="n"/>
    </row>
    <row r="192">
      <c r="O192" s="443" t="n"/>
      <c r="P192" s="443" t="n"/>
      <c r="R192" s="450" t="n"/>
      <c r="S192" s="443" t="n"/>
      <c r="T192" s="443" t="n"/>
      <c r="U192" s="443" t="n"/>
      <c r="V192" s="463" t="n"/>
      <c r="W192" s="443" t="n"/>
      <c r="X192" s="443" t="n"/>
      <c r="Y192" s="450" t="n"/>
      <c r="AB192" s="443" t="n"/>
      <c r="AF192" s="450" t="n"/>
      <c r="AH192" s="450" t="n"/>
      <c r="AI192" s="443" t="n"/>
      <c r="AK192" s="443" t="n"/>
      <c r="AM192" s="450" t="n"/>
      <c r="AN192" s="450" t="n"/>
      <c r="AP192" s="398" t="n"/>
      <c r="AQ192" s="286" t="n"/>
      <c r="AR192" s="450" t="n"/>
      <c r="AT192" s="450" t="n"/>
      <c r="AV192" s="450" t="n"/>
    </row>
    <row r="193">
      <c r="O193" s="443" t="n"/>
      <c r="P193" s="443" t="n"/>
      <c r="R193" s="450" t="n"/>
      <c r="S193" s="443" t="n"/>
      <c r="T193" s="443" t="n"/>
      <c r="U193" s="443" t="n"/>
      <c r="V193" s="463" t="n"/>
      <c r="W193" s="443" t="n"/>
      <c r="X193" s="443" t="n"/>
      <c r="Y193" s="450" t="n"/>
      <c r="AB193" s="443" t="n"/>
      <c r="AF193" s="450" t="n"/>
      <c r="AH193" s="450" t="n"/>
      <c r="AI193" s="443" t="n"/>
      <c r="AK193" s="443" t="n"/>
      <c r="AM193" s="450" t="n"/>
      <c r="AN193" s="450" t="n"/>
      <c r="AP193" s="398" t="n"/>
      <c r="AQ193" s="286" t="n"/>
      <c r="AR193" s="450" t="n"/>
      <c r="AT193" s="450" t="n"/>
      <c r="AV193" s="450" t="n"/>
    </row>
    <row r="194">
      <c r="O194" s="443" t="n"/>
      <c r="P194" s="443" t="n"/>
      <c r="R194" s="450" t="n"/>
      <c r="S194" s="443" t="n"/>
      <c r="T194" s="443" t="n"/>
      <c r="U194" s="443" t="n"/>
      <c r="V194" s="463" t="n"/>
      <c r="W194" s="443" t="n"/>
      <c r="X194" s="443" t="n"/>
      <c r="Y194" s="450" t="n"/>
      <c r="AB194" s="443" t="n"/>
      <c r="AF194" s="450" t="n"/>
      <c r="AH194" s="450" t="n"/>
      <c r="AI194" s="443" t="n"/>
      <c r="AK194" s="443" t="n"/>
      <c r="AM194" s="450" t="n"/>
      <c r="AN194" s="450" t="n"/>
      <c r="AP194" s="398" t="n"/>
      <c r="AQ194" s="286" t="n"/>
      <c r="AR194" s="450" t="n"/>
      <c r="AT194" s="450" t="n"/>
      <c r="AV194" s="450" t="n"/>
    </row>
    <row r="195">
      <c r="O195" s="443" t="n"/>
      <c r="P195" s="443" t="n"/>
      <c r="R195" s="450" t="n"/>
      <c r="S195" s="443" t="n"/>
      <c r="T195" s="443" t="n"/>
      <c r="U195" s="443" t="n"/>
      <c r="V195" s="463" t="n"/>
      <c r="W195" s="443" t="n"/>
      <c r="X195" s="443" t="n"/>
      <c r="Y195" s="450" t="n"/>
      <c r="AB195" s="443" t="n"/>
      <c r="AF195" s="450" t="n"/>
      <c r="AH195" s="450" t="n"/>
      <c r="AI195" s="443" t="n"/>
      <c r="AK195" s="443" t="n"/>
      <c r="AM195" s="450" t="n"/>
      <c r="AN195" s="450" t="n"/>
      <c r="AP195" s="398" t="n"/>
      <c r="AQ195" s="286" t="n"/>
      <c r="AR195" s="450" t="n"/>
      <c r="AT195" s="450" t="n"/>
      <c r="AV195" s="450" t="n"/>
    </row>
    <row r="196">
      <c r="O196" s="443" t="n"/>
      <c r="P196" s="443" t="n"/>
      <c r="R196" s="450" t="n"/>
      <c r="S196" s="443" t="n"/>
      <c r="T196" s="443" t="n"/>
      <c r="U196" s="443" t="n"/>
      <c r="V196" s="463" t="n"/>
      <c r="W196" s="443" t="n"/>
      <c r="X196" s="443" t="n"/>
      <c r="Y196" s="450" t="n"/>
      <c r="AB196" s="443" t="n"/>
      <c r="AF196" s="450" t="n"/>
      <c r="AH196" s="450" t="n"/>
      <c r="AI196" s="443" t="n"/>
      <c r="AK196" s="443" t="n"/>
      <c r="AM196" s="450" t="n"/>
      <c r="AN196" s="450" t="n"/>
      <c r="AP196" s="398" t="n"/>
      <c r="AQ196" s="286" t="n"/>
      <c r="AR196" s="450" t="n"/>
      <c r="AT196" s="450" t="n"/>
      <c r="AV196" s="450" t="n"/>
    </row>
    <row r="197">
      <c r="O197" s="443" t="n"/>
      <c r="P197" s="443" t="n"/>
      <c r="R197" s="450" t="n"/>
      <c r="S197" s="443" t="n"/>
      <c r="T197" s="443" t="n"/>
      <c r="U197" s="443" t="n"/>
      <c r="V197" s="463" t="n"/>
      <c r="W197" s="443" t="n"/>
      <c r="X197" s="443" t="n"/>
      <c r="Y197" s="450" t="n"/>
      <c r="AB197" s="443" t="n"/>
      <c r="AF197" s="450" t="n"/>
      <c r="AH197" s="450" t="n"/>
      <c r="AI197" s="443" t="n"/>
      <c r="AK197" s="443" t="n"/>
      <c r="AM197" s="450" t="n"/>
      <c r="AN197" s="450" t="n"/>
      <c r="AP197" s="398" t="n"/>
      <c r="AQ197" s="286" t="n"/>
      <c r="AR197" s="450" t="n"/>
      <c r="AT197" s="450" t="n"/>
      <c r="AV197" s="450" t="n"/>
    </row>
    <row r="198">
      <c r="O198" s="443" t="n"/>
      <c r="P198" s="443" t="n"/>
      <c r="R198" s="450" t="n"/>
      <c r="S198" s="443" t="n"/>
      <c r="T198" s="443" t="n"/>
      <c r="U198" s="443" t="n"/>
      <c r="V198" s="463" t="n"/>
      <c r="W198" s="443" t="n"/>
      <c r="X198" s="443" t="n"/>
      <c r="Y198" s="450" t="n"/>
      <c r="AB198" s="443" t="n"/>
      <c r="AF198" s="450" t="n"/>
      <c r="AH198" s="450" t="n"/>
      <c r="AI198" s="443" t="n"/>
      <c r="AK198" s="443" t="n"/>
      <c r="AM198" s="450" t="n"/>
      <c r="AN198" s="450" t="n"/>
      <c r="AP198" s="398" t="n"/>
      <c r="AQ198" s="286" t="n"/>
      <c r="AR198" s="450" t="n"/>
      <c r="AT198" s="450" t="n"/>
      <c r="AV198" s="450" t="n"/>
    </row>
    <row r="199">
      <c r="O199" s="443" t="n"/>
      <c r="P199" s="443" t="n"/>
      <c r="R199" s="450" t="n"/>
      <c r="S199" s="443" t="n"/>
      <c r="T199" s="443" t="n"/>
      <c r="U199" s="443" t="n"/>
      <c r="V199" s="463" t="n"/>
      <c r="W199" s="443" t="n"/>
      <c r="X199" s="443" t="n"/>
      <c r="Y199" s="450" t="n"/>
      <c r="AB199" s="443" t="n"/>
      <c r="AF199" s="450" t="n"/>
      <c r="AH199" s="450" t="n"/>
      <c r="AI199" s="443" t="n"/>
      <c r="AK199" s="443" t="n"/>
      <c r="AM199" s="450" t="n"/>
      <c r="AN199" s="450" t="n"/>
      <c r="AP199" s="398" t="n"/>
      <c r="AQ199" s="286" t="n"/>
      <c r="AR199" s="450" t="n"/>
      <c r="AT199" s="450" t="n"/>
      <c r="AV199" s="450" t="n"/>
    </row>
    <row r="200">
      <c r="O200" s="443" t="n"/>
      <c r="P200" s="443" t="n"/>
      <c r="R200" s="450" t="n"/>
      <c r="S200" s="443" t="n"/>
      <c r="T200" s="443" t="n"/>
      <c r="U200" s="443" t="n"/>
      <c r="V200" s="463" t="n"/>
      <c r="W200" s="443" t="n"/>
      <c r="X200" s="443" t="n"/>
      <c r="Y200" s="450" t="n"/>
      <c r="AB200" s="443" t="n"/>
      <c r="AF200" s="450" t="n"/>
      <c r="AH200" s="450" t="n"/>
      <c r="AI200" s="443" t="n"/>
      <c r="AK200" s="443" t="n"/>
      <c r="AM200" s="450" t="n"/>
      <c r="AN200" s="450" t="n"/>
      <c r="AP200" s="398" t="n"/>
      <c r="AQ200" s="286" t="n"/>
      <c r="AR200" s="450" t="n"/>
      <c r="AT200" s="450" t="n"/>
      <c r="AV200" s="450" t="n"/>
    </row>
    <row r="201">
      <c r="O201" s="443" t="n"/>
      <c r="P201" s="443" t="n"/>
      <c r="R201" s="450" t="n"/>
      <c r="S201" s="443" t="n"/>
      <c r="T201" s="443" t="n"/>
      <c r="U201" s="443" t="n"/>
      <c r="V201" s="463" t="n"/>
      <c r="W201" s="443" t="n"/>
      <c r="X201" s="443" t="n"/>
      <c r="Y201" s="450" t="n"/>
      <c r="AB201" s="443" t="n"/>
      <c r="AF201" s="450" t="n"/>
      <c r="AH201" s="450" t="n"/>
      <c r="AI201" s="443" t="n"/>
      <c r="AK201" s="443" t="n"/>
      <c r="AM201" s="450" t="n"/>
      <c r="AN201" s="450" t="n"/>
      <c r="AP201" s="398" t="n"/>
      <c r="AQ201" s="286" t="n"/>
      <c r="AR201" s="450" t="n"/>
      <c r="AT201" s="450" t="n"/>
      <c r="AV201" s="450" t="n"/>
    </row>
    <row r="202">
      <c r="O202" s="443" t="n"/>
      <c r="P202" s="443" t="n"/>
      <c r="R202" s="450" t="n"/>
      <c r="S202" s="443" t="n"/>
      <c r="T202" s="443" t="n"/>
      <c r="U202" s="443" t="n"/>
      <c r="V202" s="463" t="n"/>
      <c r="W202" s="443" t="n"/>
      <c r="X202" s="443" t="n"/>
      <c r="Y202" s="450" t="n"/>
      <c r="AB202" s="443" t="n"/>
      <c r="AF202" s="450" t="n"/>
      <c r="AH202" s="450" t="n"/>
      <c r="AI202" s="443" t="n"/>
      <c r="AK202" s="443" t="n"/>
      <c r="AM202" s="450" t="n"/>
      <c r="AN202" s="450" t="n"/>
      <c r="AP202" s="398" t="n"/>
      <c r="AQ202" s="286" t="n"/>
      <c r="AR202" s="450" t="n"/>
      <c r="AT202" s="450" t="n"/>
      <c r="AV202" s="450" t="n"/>
    </row>
    <row r="203">
      <c r="O203" s="443" t="n"/>
      <c r="P203" s="443" t="n"/>
      <c r="R203" s="450" t="n"/>
      <c r="S203" s="443" t="n"/>
      <c r="T203" s="443" t="n"/>
      <c r="U203" s="443" t="n"/>
      <c r="V203" s="463" t="n"/>
      <c r="W203" s="443" t="n"/>
      <c r="X203" s="443" t="n"/>
      <c r="Y203" s="450" t="n"/>
      <c r="AB203" s="443" t="n"/>
      <c r="AF203" s="450" t="n"/>
      <c r="AH203" s="450" t="n"/>
      <c r="AI203" s="443" t="n"/>
      <c r="AK203" s="443" t="n"/>
      <c r="AM203" s="450" t="n"/>
      <c r="AN203" s="450" t="n"/>
      <c r="AP203" s="398" t="n"/>
      <c r="AQ203" s="286" t="n"/>
      <c r="AR203" s="450" t="n"/>
      <c r="AT203" s="450" t="n"/>
      <c r="AV203" s="450" t="n"/>
    </row>
    <row r="204">
      <c r="O204" s="443" t="n"/>
      <c r="P204" s="443" t="n"/>
      <c r="R204" s="450" t="n"/>
      <c r="S204" s="443" t="n"/>
      <c r="T204" s="443" t="n"/>
      <c r="U204" s="443" t="n"/>
      <c r="V204" s="463" t="n"/>
      <c r="W204" s="443" t="n"/>
      <c r="X204" s="443" t="n"/>
      <c r="Y204" s="450" t="n"/>
      <c r="AB204" s="443" t="n"/>
      <c r="AF204" s="450" t="n"/>
      <c r="AH204" s="450" t="n"/>
      <c r="AI204" s="443" t="n"/>
      <c r="AK204" s="443" t="n"/>
      <c r="AM204" s="450" t="n"/>
      <c r="AN204" s="450" t="n"/>
      <c r="AP204" s="398" t="n"/>
      <c r="AQ204" s="286" t="n"/>
      <c r="AR204" s="450" t="n"/>
      <c r="AT204" s="450" t="n"/>
      <c r="AV204" s="450" t="n"/>
    </row>
    <row r="205">
      <c r="O205" s="443" t="n"/>
      <c r="P205" s="443" t="n"/>
      <c r="R205" s="450" t="n"/>
      <c r="S205" s="443" t="n"/>
      <c r="T205" s="443" t="n"/>
      <c r="U205" s="443" t="n"/>
      <c r="V205" s="463" t="n"/>
      <c r="W205" s="443" t="n"/>
      <c r="X205" s="443" t="n"/>
      <c r="Y205" s="450" t="n"/>
      <c r="AB205" s="443" t="n"/>
      <c r="AF205" s="450" t="n"/>
      <c r="AH205" s="450" t="n"/>
      <c r="AI205" s="443" t="n"/>
      <c r="AK205" s="443" t="n"/>
      <c r="AM205" s="450" t="n"/>
      <c r="AN205" s="450" t="n"/>
      <c r="AP205" s="398" t="n"/>
      <c r="AQ205" s="286" t="n"/>
      <c r="AR205" s="450" t="n"/>
      <c r="AT205" s="450" t="n"/>
      <c r="AV205" s="450" t="n"/>
    </row>
    <row r="206">
      <c r="O206" s="443" t="n"/>
      <c r="P206" s="443" t="n"/>
      <c r="R206" s="450" t="n"/>
      <c r="S206" s="443" t="n"/>
      <c r="T206" s="443" t="n"/>
      <c r="U206" s="443" t="n"/>
      <c r="V206" s="463" t="n"/>
      <c r="W206" s="443" t="n"/>
      <c r="X206" s="443" t="n"/>
      <c r="Y206" s="450" t="n"/>
      <c r="AB206" s="443" t="n"/>
      <c r="AF206" s="450" t="n"/>
      <c r="AH206" s="450" t="n"/>
      <c r="AI206" s="443" t="n"/>
      <c r="AK206" s="443" t="n"/>
      <c r="AM206" s="450" t="n"/>
      <c r="AN206" s="450" t="n"/>
      <c r="AP206" s="398" t="n"/>
      <c r="AQ206" s="286" t="n"/>
      <c r="AR206" s="450" t="n"/>
      <c r="AT206" s="450" t="n"/>
      <c r="AV206" s="450" t="n"/>
    </row>
    <row r="207">
      <c r="O207" s="443" t="n"/>
      <c r="P207" s="443" t="n"/>
      <c r="R207" s="450" t="n"/>
      <c r="S207" s="443" t="n"/>
      <c r="T207" s="443" t="n"/>
      <c r="U207" s="443" t="n"/>
      <c r="V207" s="463" t="n"/>
      <c r="W207" s="443" t="n"/>
      <c r="X207" s="443" t="n"/>
      <c r="Y207" s="450" t="n"/>
      <c r="AB207" s="443" t="n"/>
      <c r="AF207" s="450" t="n"/>
      <c r="AH207" s="450" t="n"/>
      <c r="AI207" s="443" t="n"/>
      <c r="AK207" s="443" t="n"/>
      <c r="AM207" s="450" t="n"/>
      <c r="AN207" s="450" t="n"/>
      <c r="AP207" s="398" t="n"/>
      <c r="AQ207" s="286" t="n"/>
      <c r="AR207" s="450" t="n"/>
      <c r="AT207" s="450" t="n"/>
      <c r="AV207" s="450" t="n"/>
    </row>
    <row r="208">
      <c r="O208" s="443" t="n"/>
      <c r="P208" s="443" t="n"/>
      <c r="R208" s="450" t="n"/>
      <c r="S208" s="443" t="n"/>
      <c r="T208" s="443" t="n"/>
      <c r="U208" s="443" t="n"/>
      <c r="V208" s="463" t="n"/>
      <c r="W208" s="443" t="n"/>
      <c r="X208" s="443" t="n"/>
      <c r="Y208" s="450" t="n"/>
      <c r="AB208" s="443" t="n"/>
      <c r="AF208" s="450" t="n"/>
      <c r="AH208" s="450" t="n"/>
      <c r="AI208" s="443" t="n"/>
      <c r="AK208" s="443" t="n"/>
      <c r="AM208" s="450" t="n"/>
      <c r="AN208" s="450" t="n"/>
      <c r="AP208" s="398" t="n"/>
      <c r="AQ208" s="286" t="n"/>
      <c r="AR208" s="450" t="n"/>
      <c r="AT208" s="450" t="n"/>
      <c r="AV208" s="450" t="n"/>
    </row>
    <row r="209">
      <c r="O209" s="443" t="n"/>
      <c r="P209" s="443" t="n"/>
      <c r="R209" s="450" t="n"/>
      <c r="S209" s="443" t="n"/>
      <c r="T209" s="443" t="n"/>
      <c r="U209" s="443" t="n"/>
      <c r="V209" s="463" t="n"/>
      <c r="W209" s="443" t="n"/>
      <c r="X209" s="443" t="n"/>
      <c r="Y209" s="450" t="n"/>
      <c r="AB209" s="443" t="n"/>
      <c r="AF209" s="450" t="n"/>
      <c r="AH209" s="450" t="n"/>
      <c r="AI209" s="443" t="n"/>
      <c r="AK209" s="443" t="n"/>
      <c r="AM209" s="450" t="n"/>
      <c r="AN209" s="450" t="n"/>
      <c r="AP209" s="398" t="n"/>
      <c r="AQ209" s="286" t="n"/>
      <c r="AR209" s="450" t="n"/>
      <c r="AT209" s="450" t="n"/>
      <c r="AV209" s="450" t="n"/>
    </row>
    <row r="210">
      <c r="O210" s="443" t="n"/>
      <c r="P210" s="443" t="n"/>
      <c r="R210" s="450" t="n"/>
      <c r="S210" s="443" t="n"/>
      <c r="T210" s="443" t="n"/>
      <c r="U210" s="443" t="n"/>
      <c r="V210" s="463" t="n"/>
      <c r="W210" s="443" t="n"/>
      <c r="X210" s="443" t="n"/>
      <c r="Y210" s="450" t="n"/>
      <c r="AB210" s="443" t="n"/>
      <c r="AF210" s="450" t="n"/>
      <c r="AH210" s="450" t="n"/>
      <c r="AI210" s="443" t="n"/>
      <c r="AK210" s="443" t="n"/>
      <c r="AM210" s="450" t="n"/>
      <c r="AN210" s="450" t="n"/>
      <c r="AP210" s="398" t="n"/>
      <c r="AQ210" s="286" t="n"/>
      <c r="AR210" s="450" t="n"/>
      <c r="AT210" s="450" t="n"/>
      <c r="AV210" s="450" t="n"/>
    </row>
    <row r="211">
      <c r="O211" s="443" t="n"/>
      <c r="P211" s="443" t="n"/>
      <c r="R211" s="450" t="n"/>
      <c r="S211" s="443" t="n"/>
      <c r="T211" s="443" t="n"/>
      <c r="U211" s="443" t="n"/>
      <c r="V211" s="463" t="n"/>
      <c r="W211" s="443" t="n"/>
      <c r="X211" s="443" t="n"/>
      <c r="Y211" s="450" t="n"/>
      <c r="AB211" s="443" t="n"/>
      <c r="AF211" s="450" t="n"/>
      <c r="AH211" s="450" t="n"/>
      <c r="AI211" s="443" t="n"/>
      <c r="AK211" s="443" t="n"/>
      <c r="AM211" s="450" t="n"/>
      <c r="AN211" s="450" t="n"/>
      <c r="AP211" s="398" t="n"/>
      <c r="AQ211" s="286" t="n"/>
      <c r="AR211" s="450" t="n"/>
      <c r="AT211" s="450" t="n"/>
      <c r="AV211" s="450" t="n"/>
    </row>
    <row r="212">
      <c r="O212" s="443" t="n"/>
      <c r="P212" s="443" t="n"/>
      <c r="R212" s="450" t="n"/>
      <c r="S212" s="443" t="n"/>
      <c r="T212" s="443" t="n"/>
      <c r="U212" s="443" t="n"/>
      <c r="V212" s="463" t="n"/>
      <c r="W212" s="443" t="n"/>
      <c r="X212" s="443" t="n"/>
      <c r="Y212" s="450" t="n"/>
      <c r="AB212" s="443" t="n"/>
      <c r="AF212" s="450" t="n"/>
      <c r="AH212" s="450" t="n"/>
      <c r="AI212" s="443" t="n"/>
      <c r="AK212" s="443" t="n"/>
      <c r="AM212" s="450" t="n"/>
      <c r="AN212" s="450" t="n"/>
      <c r="AP212" s="398" t="n"/>
      <c r="AQ212" s="286" t="n"/>
      <c r="AR212" s="450" t="n"/>
      <c r="AT212" s="450" t="n"/>
      <c r="AV212" s="450" t="n"/>
    </row>
    <row r="213">
      <c r="O213" s="443" t="n"/>
      <c r="P213" s="443" t="n"/>
      <c r="R213" s="450" t="n"/>
      <c r="S213" s="443" t="n"/>
      <c r="T213" s="443" t="n"/>
      <c r="U213" s="443" t="n"/>
      <c r="V213" s="463" t="n"/>
      <c r="W213" s="443" t="n"/>
      <c r="X213" s="443" t="n"/>
      <c r="Y213" s="450" t="n"/>
      <c r="AB213" s="443" t="n"/>
      <c r="AF213" s="450" t="n"/>
      <c r="AH213" s="450" t="n"/>
      <c r="AI213" s="443" t="n"/>
      <c r="AK213" s="443" t="n"/>
      <c r="AM213" s="450" t="n"/>
      <c r="AN213" s="450" t="n"/>
      <c r="AP213" s="398" t="n"/>
      <c r="AQ213" s="286" t="n"/>
      <c r="AR213" s="450" t="n"/>
      <c r="AT213" s="450" t="n"/>
      <c r="AV213" s="450" t="n"/>
    </row>
    <row r="214">
      <c r="O214" s="443" t="n"/>
      <c r="P214" s="443" t="n"/>
      <c r="R214" s="450" t="n"/>
      <c r="S214" s="443" t="n"/>
      <c r="T214" s="443" t="n"/>
      <c r="U214" s="443" t="n"/>
      <c r="V214" s="463" t="n"/>
      <c r="W214" s="443" t="n"/>
      <c r="X214" s="443" t="n"/>
      <c r="Y214" s="450" t="n"/>
      <c r="AB214" s="443" t="n"/>
      <c r="AF214" s="450" t="n"/>
      <c r="AH214" s="450" t="n"/>
      <c r="AI214" s="443" t="n"/>
      <c r="AK214" s="443" t="n"/>
      <c r="AM214" s="450" t="n"/>
      <c r="AN214" s="450" t="n"/>
      <c r="AP214" s="398" t="n"/>
      <c r="AQ214" s="286" t="n"/>
      <c r="AR214" s="450" t="n"/>
      <c r="AT214" s="450" t="n"/>
      <c r="AV214" s="450" t="n"/>
    </row>
    <row r="215">
      <c r="O215" s="443" t="n"/>
      <c r="P215" s="443" t="n"/>
      <c r="R215" s="450" t="n"/>
      <c r="S215" s="443" t="n"/>
      <c r="T215" s="443" t="n"/>
      <c r="U215" s="443" t="n"/>
      <c r="V215" s="463" t="n"/>
      <c r="W215" s="443" t="n"/>
      <c r="X215" s="443" t="n"/>
      <c r="Y215" s="450" t="n"/>
      <c r="AB215" s="443" t="n"/>
      <c r="AF215" s="450" t="n"/>
      <c r="AH215" s="450" t="n"/>
      <c r="AI215" s="443" t="n"/>
      <c r="AK215" s="443" t="n"/>
      <c r="AM215" s="450" t="n"/>
      <c r="AN215" s="450" t="n"/>
      <c r="AP215" s="398" t="n"/>
      <c r="AQ215" s="286" t="n"/>
      <c r="AR215" s="450" t="n"/>
      <c r="AT215" s="450" t="n"/>
      <c r="AV215" s="450" t="n"/>
    </row>
    <row r="216">
      <c r="O216" s="443" t="n"/>
      <c r="P216" s="443" t="n"/>
      <c r="R216" s="450" t="n"/>
      <c r="S216" s="443" t="n"/>
      <c r="T216" s="443" t="n"/>
      <c r="U216" s="443" t="n"/>
      <c r="V216" s="463" t="n"/>
      <c r="W216" s="443" t="n"/>
      <c r="X216" s="443" t="n"/>
      <c r="Y216" s="450" t="n"/>
      <c r="AB216" s="443" t="n"/>
      <c r="AF216" s="450" t="n"/>
      <c r="AH216" s="450" t="n"/>
      <c r="AI216" s="443" t="n"/>
      <c r="AK216" s="443" t="n"/>
      <c r="AM216" s="450" t="n"/>
      <c r="AN216" s="450" t="n"/>
      <c r="AP216" s="398" t="n"/>
      <c r="AQ216" s="286" t="n"/>
      <c r="AR216" s="450" t="n"/>
      <c r="AT216" s="450" t="n"/>
      <c r="AV216" s="450" t="n"/>
    </row>
    <row r="217">
      <c r="O217" s="443" t="n"/>
      <c r="P217" s="443" t="n"/>
      <c r="R217" s="450" t="n"/>
      <c r="S217" s="443" t="n"/>
      <c r="T217" s="443" t="n"/>
      <c r="U217" s="443" t="n"/>
      <c r="V217" s="463" t="n"/>
      <c r="W217" s="443" t="n"/>
      <c r="X217" s="443" t="n"/>
      <c r="Y217" s="450" t="n"/>
      <c r="AB217" s="443" t="n"/>
      <c r="AF217" s="450" t="n"/>
      <c r="AH217" s="450" t="n"/>
      <c r="AI217" s="443" t="n"/>
      <c r="AK217" s="443" t="n"/>
      <c r="AM217" s="450" t="n"/>
      <c r="AN217" s="450" t="n"/>
      <c r="AP217" s="398" t="n"/>
      <c r="AQ217" s="286" t="n"/>
      <c r="AR217" s="450" t="n"/>
      <c r="AT217" s="450" t="n"/>
      <c r="AV217" s="450" t="n"/>
    </row>
    <row r="218">
      <c r="O218" s="443" t="n"/>
      <c r="P218" s="443" t="n"/>
      <c r="R218" s="450" t="n"/>
      <c r="S218" s="443" t="n"/>
      <c r="T218" s="443" t="n"/>
      <c r="U218" s="443" t="n"/>
      <c r="V218" s="463" t="n"/>
      <c r="W218" s="443" t="n"/>
      <c r="X218" s="443" t="n"/>
      <c r="Y218" s="450" t="n"/>
      <c r="AB218" s="443" t="n"/>
      <c r="AF218" s="450" t="n"/>
      <c r="AH218" s="450" t="n"/>
      <c r="AI218" s="443" t="n"/>
      <c r="AK218" s="443" t="n"/>
      <c r="AM218" s="450" t="n"/>
      <c r="AN218" s="450" t="n"/>
      <c r="AP218" s="398" t="n"/>
      <c r="AQ218" s="286" t="n"/>
      <c r="AR218" s="450" t="n"/>
      <c r="AT218" s="450" t="n"/>
      <c r="AV218" s="450" t="n"/>
    </row>
    <row r="219">
      <c r="O219" s="443" t="n"/>
      <c r="P219" s="443" t="n"/>
      <c r="R219" s="450" t="n"/>
      <c r="S219" s="443" t="n"/>
      <c r="T219" s="443" t="n"/>
      <c r="U219" s="443" t="n"/>
      <c r="V219" s="463" t="n"/>
      <c r="W219" s="443" t="n"/>
      <c r="X219" s="443" t="n"/>
      <c r="Y219" s="450" t="n"/>
      <c r="AB219" s="443" t="n"/>
      <c r="AF219" s="450" t="n"/>
      <c r="AH219" s="450" t="n"/>
      <c r="AI219" s="443" t="n"/>
      <c r="AK219" s="443" t="n"/>
      <c r="AM219" s="450" t="n"/>
      <c r="AN219" s="450" t="n"/>
      <c r="AP219" s="398" t="n"/>
      <c r="AQ219" s="286" t="n"/>
      <c r="AR219" s="450" t="n"/>
      <c r="AT219" s="450" t="n"/>
      <c r="AV219" s="450" t="n"/>
    </row>
    <row r="220">
      <c r="O220" s="443" t="n"/>
      <c r="P220" s="443" t="n"/>
      <c r="R220" s="450" t="n"/>
      <c r="S220" s="443" t="n"/>
      <c r="T220" s="443" t="n"/>
      <c r="U220" s="443" t="n"/>
      <c r="V220" s="463" t="n"/>
      <c r="W220" s="443" t="n"/>
      <c r="X220" s="443" t="n"/>
      <c r="Y220" s="450" t="n"/>
      <c r="AB220" s="443" t="n"/>
      <c r="AF220" s="450" t="n"/>
      <c r="AH220" s="450" t="n"/>
      <c r="AI220" s="443" t="n"/>
      <c r="AK220" s="443" t="n"/>
      <c r="AM220" s="450" t="n"/>
      <c r="AN220" s="450" t="n"/>
      <c r="AP220" s="398" t="n"/>
      <c r="AQ220" s="286" t="n"/>
      <c r="AR220" s="450" t="n"/>
      <c r="AT220" s="450" t="n"/>
      <c r="AV220" s="450" t="n"/>
    </row>
    <row r="221">
      <c r="O221" s="443" t="n"/>
      <c r="P221" s="443" t="n"/>
      <c r="R221" s="450" t="n"/>
      <c r="S221" s="443" t="n"/>
      <c r="T221" s="443" t="n"/>
      <c r="U221" s="443" t="n"/>
      <c r="V221" s="463" t="n"/>
      <c r="W221" s="443" t="n"/>
      <c r="X221" s="443" t="n"/>
      <c r="Y221" s="450" t="n"/>
      <c r="AB221" s="443" t="n"/>
      <c r="AF221" s="450" t="n"/>
      <c r="AH221" s="450" t="n"/>
      <c r="AI221" s="443" t="n"/>
      <c r="AK221" s="443" t="n"/>
      <c r="AM221" s="450" t="n"/>
      <c r="AN221" s="450" t="n"/>
      <c r="AP221" s="398" t="n"/>
      <c r="AQ221" s="286" t="n"/>
      <c r="AR221" s="450" t="n"/>
      <c r="AT221" s="450" t="n"/>
      <c r="AV221" s="450" t="n"/>
    </row>
    <row r="222">
      <c r="O222" s="443" t="n"/>
      <c r="P222" s="443" t="n"/>
      <c r="R222" s="450" t="n"/>
      <c r="S222" s="443" t="n"/>
      <c r="T222" s="443" t="n"/>
      <c r="U222" s="443" t="n"/>
      <c r="V222" s="463" t="n"/>
      <c r="W222" s="443" t="n"/>
      <c r="X222" s="443" t="n"/>
      <c r="Y222" s="450" t="n"/>
      <c r="AB222" s="443" t="n"/>
      <c r="AF222" s="450" t="n"/>
      <c r="AH222" s="450" t="n"/>
      <c r="AI222" s="443" t="n"/>
      <c r="AK222" s="443" t="n"/>
      <c r="AM222" s="450" t="n"/>
      <c r="AN222" s="450" t="n"/>
      <c r="AP222" s="398" t="n"/>
      <c r="AQ222" s="286" t="n"/>
      <c r="AR222" s="450" t="n"/>
      <c r="AT222" s="450" t="n"/>
      <c r="AV222" s="450" t="n"/>
    </row>
    <row r="223">
      <c r="O223" s="443" t="n"/>
      <c r="P223" s="443" t="n"/>
      <c r="R223" s="450" t="n"/>
      <c r="S223" s="443" t="n"/>
      <c r="T223" s="443" t="n"/>
      <c r="U223" s="443" t="n"/>
      <c r="V223" s="463" t="n"/>
      <c r="W223" s="443" t="n"/>
      <c r="X223" s="443" t="n"/>
      <c r="Y223" s="450" t="n"/>
      <c r="AB223" s="443" t="n"/>
      <c r="AF223" s="450" t="n"/>
      <c r="AH223" s="450" t="n"/>
      <c r="AI223" s="443" t="n"/>
      <c r="AK223" s="443" t="n"/>
      <c r="AM223" s="450" t="n"/>
      <c r="AN223" s="450" t="n"/>
      <c r="AP223" s="398" t="n"/>
      <c r="AQ223" s="286" t="n"/>
      <c r="AR223" s="450" t="n"/>
      <c r="AT223" s="450" t="n"/>
      <c r="AV223" s="450" t="n"/>
    </row>
    <row r="224">
      <c r="O224" s="443" t="n"/>
      <c r="P224" s="443" t="n"/>
      <c r="R224" s="450" t="n"/>
      <c r="S224" s="443" t="n"/>
      <c r="T224" s="443" t="n"/>
      <c r="U224" s="443" t="n"/>
      <c r="V224" s="463" t="n"/>
      <c r="W224" s="443" t="n"/>
      <c r="X224" s="443" t="n"/>
      <c r="Y224" s="450" t="n"/>
      <c r="AB224" s="443" t="n"/>
      <c r="AF224" s="450" t="n"/>
      <c r="AH224" s="450" t="n"/>
      <c r="AI224" s="443" t="n"/>
      <c r="AK224" s="443" t="n"/>
      <c r="AM224" s="450" t="n"/>
      <c r="AN224" s="450" t="n"/>
      <c r="AP224" s="398" t="n"/>
      <c r="AQ224" s="286" t="n"/>
      <c r="AR224" s="450" t="n"/>
      <c r="AT224" s="450" t="n"/>
      <c r="AV224" s="450" t="n"/>
    </row>
    <row r="225">
      <c r="O225" s="443" t="n"/>
      <c r="P225" s="443" t="n"/>
      <c r="R225" s="450" t="n"/>
      <c r="S225" s="443" t="n"/>
      <c r="T225" s="443" t="n"/>
      <c r="U225" s="443" t="n"/>
      <c r="V225" s="463" t="n"/>
      <c r="W225" s="443" t="n"/>
      <c r="X225" s="443" t="n"/>
      <c r="Y225" s="450" t="n"/>
      <c r="AB225" s="443" t="n"/>
      <c r="AF225" s="450" t="n"/>
      <c r="AH225" s="450" t="n"/>
      <c r="AI225" s="443" t="n"/>
      <c r="AK225" s="443" t="n"/>
      <c r="AM225" s="450" t="n"/>
      <c r="AN225" s="450" t="n"/>
      <c r="AP225" s="398" t="n"/>
      <c r="AQ225" s="286" t="n"/>
      <c r="AR225" s="450" t="n"/>
      <c r="AT225" s="450" t="n"/>
      <c r="AV225" s="450" t="n"/>
    </row>
    <row r="226">
      <c r="O226" s="443" t="n"/>
      <c r="P226" s="443" t="n"/>
      <c r="R226" s="450" t="n"/>
      <c r="S226" s="443" t="n"/>
      <c r="T226" s="443" t="n"/>
      <c r="U226" s="443" t="n"/>
      <c r="V226" s="463" t="n"/>
      <c r="W226" s="443" t="n"/>
      <c r="X226" s="443" t="n"/>
      <c r="Y226" s="450" t="n"/>
      <c r="AB226" s="443" t="n"/>
      <c r="AF226" s="450" t="n"/>
      <c r="AH226" s="450" t="n"/>
      <c r="AI226" s="443" t="n"/>
      <c r="AK226" s="443" t="n"/>
      <c r="AM226" s="450" t="n"/>
      <c r="AN226" s="450" t="n"/>
      <c r="AP226" s="398" t="n"/>
      <c r="AQ226" s="286" t="n"/>
      <c r="AR226" s="450" t="n"/>
      <c r="AT226" s="450" t="n"/>
      <c r="AV226" s="450" t="n"/>
    </row>
    <row r="227">
      <c r="O227" s="443" t="n"/>
      <c r="P227" s="443" t="n"/>
      <c r="R227" s="450" t="n"/>
      <c r="S227" s="443" t="n"/>
      <c r="T227" s="443" t="n"/>
      <c r="U227" s="443" t="n"/>
      <c r="V227" s="463" t="n"/>
      <c r="W227" s="443" t="n"/>
      <c r="X227" s="443" t="n"/>
      <c r="Y227" s="450" t="n"/>
      <c r="AB227" s="443" t="n"/>
      <c r="AF227" s="450" t="n"/>
      <c r="AH227" s="450" t="n"/>
      <c r="AI227" s="443" t="n"/>
      <c r="AK227" s="443" t="n"/>
      <c r="AM227" s="450" t="n"/>
      <c r="AN227" s="450" t="n"/>
      <c r="AP227" s="398" t="n"/>
      <c r="AQ227" s="286" t="n"/>
      <c r="AR227" s="450" t="n"/>
      <c r="AT227" s="450" t="n"/>
      <c r="AV227" s="450" t="n"/>
    </row>
    <row r="228">
      <c r="O228" s="443" t="n"/>
      <c r="P228" s="443" t="n"/>
      <c r="R228" s="450" t="n"/>
      <c r="S228" s="443" t="n"/>
      <c r="T228" s="443" t="n"/>
      <c r="U228" s="443" t="n"/>
      <c r="V228" s="463" t="n"/>
      <c r="W228" s="443" t="n"/>
      <c r="X228" s="443" t="n"/>
      <c r="Y228" s="450" t="n"/>
      <c r="AB228" s="443" t="n"/>
      <c r="AF228" s="450" t="n"/>
      <c r="AH228" s="450" t="n"/>
      <c r="AI228" s="443" t="n"/>
      <c r="AK228" s="443" t="n"/>
      <c r="AM228" s="450" t="n"/>
      <c r="AN228" s="450" t="n"/>
      <c r="AP228" s="398" t="n"/>
      <c r="AQ228" s="286" t="n"/>
      <c r="AR228" s="450" t="n"/>
      <c r="AT228" s="450" t="n"/>
      <c r="AV228" s="450" t="n"/>
    </row>
    <row r="229">
      <c r="O229" s="443" t="n"/>
      <c r="P229" s="443" t="n"/>
      <c r="R229" s="450" t="n"/>
      <c r="S229" s="443" t="n"/>
      <c r="T229" s="443" t="n"/>
      <c r="U229" s="443" t="n"/>
      <c r="V229" s="463" t="n"/>
      <c r="W229" s="443" t="n"/>
      <c r="X229" s="443" t="n"/>
      <c r="Y229" s="450" t="n"/>
      <c r="AB229" s="443" t="n"/>
      <c r="AF229" s="450" t="n"/>
      <c r="AH229" s="450" t="n"/>
      <c r="AI229" s="443" t="n"/>
      <c r="AK229" s="443" t="n"/>
      <c r="AM229" s="450" t="n"/>
      <c r="AN229" s="450" t="n"/>
      <c r="AP229" s="398" t="n"/>
      <c r="AQ229" s="286" t="n"/>
      <c r="AR229" s="450" t="n"/>
      <c r="AT229" s="450" t="n"/>
      <c r="AV229" s="450" t="n"/>
    </row>
    <row r="230">
      <c r="O230" s="443" t="n"/>
      <c r="P230" s="443" t="n"/>
      <c r="R230" s="450" t="n"/>
      <c r="S230" s="443" t="n"/>
      <c r="T230" s="443" t="n"/>
      <c r="U230" s="443" t="n"/>
      <c r="V230" s="463" t="n"/>
      <c r="W230" s="443" t="n"/>
      <c r="X230" s="443" t="n"/>
      <c r="Y230" s="450" t="n"/>
      <c r="AB230" s="443" t="n"/>
      <c r="AF230" s="450" t="n"/>
      <c r="AH230" s="450" t="n"/>
      <c r="AI230" s="443" t="n"/>
      <c r="AK230" s="443" t="n"/>
      <c r="AM230" s="450" t="n"/>
      <c r="AN230" s="450" t="n"/>
      <c r="AP230" s="398" t="n"/>
      <c r="AQ230" s="286" t="n"/>
      <c r="AR230" s="450" t="n"/>
      <c r="AT230" s="450" t="n"/>
      <c r="AV230" s="450" t="n"/>
    </row>
    <row r="231">
      <c r="O231" s="443" t="n"/>
      <c r="P231" s="443" t="n"/>
      <c r="R231" s="450" t="n"/>
      <c r="S231" s="443" t="n"/>
      <c r="T231" s="443" t="n"/>
      <c r="U231" s="443" t="n"/>
      <c r="V231" s="463" t="n"/>
      <c r="W231" s="443" t="n"/>
      <c r="X231" s="443" t="n"/>
      <c r="Y231" s="450" t="n"/>
      <c r="AB231" s="443" t="n"/>
      <c r="AF231" s="450" t="n"/>
      <c r="AH231" s="450" t="n"/>
      <c r="AI231" s="443" t="n"/>
      <c r="AK231" s="443" t="n"/>
      <c r="AM231" s="450" t="n"/>
      <c r="AN231" s="450" t="n"/>
      <c r="AP231" s="398" t="n"/>
      <c r="AQ231" s="286" t="n"/>
      <c r="AR231" s="450" t="n"/>
      <c r="AT231" s="450" t="n"/>
      <c r="AV231" s="450" t="n"/>
    </row>
    <row r="232">
      <c r="O232" s="443" t="n"/>
      <c r="P232" s="443" t="n"/>
      <c r="R232" s="450" t="n"/>
      <c r="S232" s="443" t="n"/>
      <c r="T232" s="443" t="n"/>
      <c r="U232" s="443" t="n"/>
      <c r="V232" s="463" t="n"/>
      <c r="W232" s="443" t="n"/>
      <c r="X232" s="443" t="n"/>
      <c r="Y232" s="450" t="n"/>
      <c r="AB232" s="443" t="n"/>
      <c r="AF232" s="450" t="n"/>
      <c r="AH232" s="450" t="n"/>
      <c r="AI232" s="443" t="n"/>
      <c r="AK232" s="443" t="n"/>
      <c r="AM232" s="450" t="n"/>
      <c r="AN232" s="450" t="n"/>
      <c r="AP232" s="398" t="n"/>
      <c r="AQ232" s="286" t="n"/>
      <c r="AR232" s="450" t="n"/>
      <c r="AT232" s="450" t="n"/>
      <c r="AV232" s="450" t="n"/>
    </row>
    <row r="233">
      <c r="O233" s="443" t="n"/>
      <c r="P233" s="443" t="n"/>
      <c r="R233" s="450" t="n"/>
      <c r="S233" s="443" t="n"/>
      <c r="T233" s="443" t="n"/>
      <c r="U233" s="443" t="n"/>
      <c r="V233" s="463" t="n"/>
      <c r="W233" s="443" t="n"/>
      <c r="X233" s="443" t="n"/>
      <c r="Y233" s="450" t="n"/>
      <c r="AB233" s="443" t="n"/>
      <c r="AF233" s="450" t="n"/>
      <c r="AH233" s="450" t="n"/>
      <c r="AI233" s="443" t="n"/>
      <c r="AK233" s="443" t="n"/>
      <c r="AM233" s="450" t="n"/>
      <c r="AN233" s="450" t="n"/>
      <c r="AP233" s="398" t="n"/>
      <c r="AQ233" s="286" t="n"/>
      <c r="AR233" s="450" t="n"/>
      <c r="AT233" s="450" t="n"/>
      <c r="AV233" s="450" t="n"/>
    </row>
    <row r="234">
      <c r="O234" s="443" t="n"/>
      <c r="P234" s="443" t="n"/>
      <c r="R234" s="450" t="n"/>
      <c r="S234" s="443" t="n"/>
      <c r="T234" s="443" t="n"/>
      <c r="U234" s="443" t="n"/>
      <c r="V234" s="463" t="n"/>
      <c r="W234" s="443" t="n"/>
      <c r="X234" s="443" t="n"/>
      <c r="Y234" s="450" t="n"/>
      <c r="AB234" s="443" t="n"/>
      <c r="AF234" s="450" t="n"/>
      <c r="AH234" s="450" t="n"/>
      <c r="AI234" s="443" t="n"/>
      <c r="AK234" s="443" t="n"/>
      <c r="AM234" s="450" t="n"/>
      <c r="AN234" s="450" t="n"/>
      <c r="AP234" s="398" t="n"/>
      <c r="AQ234" s="286" t="n"/>
      <c r="AR234" s="450" t="n"/>
      <c r="AT234" s="450" t="n"/>
      <c r="AV234" s="450" t="n"/>
    </row>
    <row r="235">
      <c r="O235" s="443" t="n"/>
      <c r="P235" s="443" t="n"/>
      <c r="R235" s="450" t="n"/>
      <c r="S235" s="443" t="n"/>
      <c r="T235" s="443" t="n"/>
      <c r="U235" s="443" t="n"/>
      <c r="V235" s="463" t="n"/>
      <c r="W235" s="443" t="n"/>
      <c r="X235" s="443" t="n"/>
      <c r="Y235" s="450" t="n"/>
      <c r="AB235" s="443" t="n"/>
      <c r="AF235" s="450" t="n"/>
      <c r="AH235" s="450" t="n"/>
      <c r="AI235" s="443" t="n"/>
      <c r="AK235" s="443" t="n"/>
      <c r="AM235" s="450" t="n"/>
      <c r="AN235" s="450" t="n"/>
      <c r="AP235" s="398" t="n"/>
      <c r="AQ235" s="286" t="n"/>
      <c r="AR235" s="450" t="n"/>
      <c r="AT235" s="450" t="n"/>
      <c r="AV235" s="450" t="n"/>
    </row>
    <row r="236">
      <c r="O236" s="443" t="n"/>
      <c r="P236" s="443" t="n"/>
      <c r="R236" s="450" t="n"/>
      <c r="S236" s="443" t="n"/>
      <c r="T236" s="443" t="n"/>
      <c r="U236" s="443" t="n"/>
      <c r="V236" s="463" t="n"/>
      <c r="W236" s="443" t="n"/>
      <c r="X236" s="443" t="n"/>
      <c r="Y236" s="450" t="n"/>
      <c r="AB236" s="443" t="n"/>
      <c r="AF236" s="450" t="n"/>
      <c r="AH236" s="450" t="n"/>
      <c r="AI236" s="443" t="n"/>
      <c r="AK236" s="443" t="n"/>
      <c r="AM236" s="450" t="n"/>
      <c r="AN236" s="450" t="n"/>
      <c r="AP236" s="398" t="n"/>
      <c r="AQ236" s="286" t="n"/>
      <c r="AR236" s="450" t="n"/>
      <c r="AT236" s="450" t="n"/>
      <c r="AV236" s="450" t="n"/>
    </row>
    <row r="237">
      <c r="O237" s="443" t="n"/>
      <c r="P237" s="443" t="n"/>
      <c r="R237" s="450" t="n"/>
      <c r="S237" s="443" t="n"/>
      <c r="T237" s="443" t="n"/>
      <c r="U237" s="443" t="n"/>
      <c r="V237" s="463" t="n"/>
      <c r="W237" s="443" t="n"/>
      <c r="X237" s="443" t="n"/>
      <c r="Y237" s="450" t="n"/>
      <c r="AB237" s="443" t="n"/>
      <c r="AF237" s="450" t="n"/>
      <c r="AH237" s="450" t="n"/>
      <c r="AI237" s="443" t="n"/>
      <c r="AK237" s="443" t="n"/>
      <c r="AM237" s="450" t="n"/>
      <c r="AN237" s="450" t="n"/>
      <c r="AP237" s="398" t="n"/>
      <c r="AQ237" s="286" t="n"/>
      <c r="AR237" s="450" t="n"/>
      <c r="AT237" s="450" t="n"/>
      <c r="AV237" s="450" t="n"/>
    </row>
    <row r="238">
      <c r="O238" s="443" t="n"/>
      <c r="P238" s="443" t="n"/>
      <c r="R238" s="450" t="n"/>
      <c r="S238" s="443" t="n"/>
      <c r="T238" s="443" t="n"/>
      <c r="U238" s="443" t="n"/>
      <c r="V238" s="463" t="n"/>
      <c r="W238" s="443" t="n"/>
      <c r="X238" s="443" t="n"/>
      <c r="Y238" s="450" t="n"/>
      <c r="AB238" s="443" t="n"/>
      <c r="AF238" s="450" t="n"/>
      <c r="AH238" s="450" t="n"/>
      <c r="AI238" s="443" t="n"/>
      <c r="AK238" s="443" t="n"/>
      <c r="AM238" s="450" t="n"/>
      <c r="AN238" s="450" t="n"/>
      <c r="AP238" s="398" t="n"/>
      <c r="AQ238" s="286" t="n"/>
      <c r="AR238" s="450" t="n"/>
      <c r="AT238" s="450" t="n"/>
      <c r="AV238" s="450" t="n"/>
    </row>
    <row r="239">
      <c r="O239" s="443" t="n"/>
      <c r="P239" s="443" t="n"/>
      <c r="R239" s="450" t="n"/>
      <c r="S239" s="443" t="n"/>
      <c r="T239" s="443" t="n"/>
      <c r="U239" s="443" t="n"/>
      <c r="V239" s="463" t="n"/>
      <c r="W239" s="443" t="n"/>
      <c r="X239" s="443" t="n"/>
      <c r="Y239" s="450" t="n"/>
      <c r="AB239" s="443" t="n"/>
      <c r="AF239" s="450" t="n"/>
      <c r="AH239" s="450" t="n"/>
      <c r="AI239" s="443" t="n"/>
      <c r="AK239" s="443" t="n"/>
      <c r="AM239" s="450" t="n"/>
      <c r="AN239" s="450" t="n"/>
      <c r="AP239" s="398" t="n"/>
      <c r="AQ239" s="286" t="n"/>
      <c r="AR239" s="450" t="n"/>
      <c r="AT239" s="450" t="n"/>
      <c r="AV239" s="450" t="n"/>
    </row>
    <row r="240">
      <c r="O240" s="443" t="n"/>
      <c r="P240" s="443" t="n"/>
      <c r="R240" s="450" t="n"/>
      <c r="S240" s="443" t="n"/>
      <c r="T240" s="443" t="n"/>
      <c r="U240" s="443" t="n"/>
      <c r="V240" s="463" t="n"/>
      <c r="W240" s="443" t="n"/>
      <c r="X240" s="443" t="n"/>
      <c r="Y240" s="450" t="n"/>
      <c r="AB240" s="443" t="n"/>
      <c r="AF240" s="450" t="n"/>
      <c r="AH240" s="450" t="n"/>
      <c r="AI240" s="443" t="n"/>
      <c r="AK240" s="443" t="n"/>
      <c r="AM240" s="450" t="n"/>
      <c r="AN240" s="450" t="n"/>
      <c r="AP240" s="398" t="n"/>
      <c r="AQ240" s="286" t="n"/>
      <c r="AR240" s="450" t="n"/>
      <c r="AT240" s="450" t="n"/>
      <c r="AV240" s="450" t="n"/>
    </row>
    <row r="241">
      <c r="O241" s="443" t="n"/>
      <c r="P241" s="443" t="n"/>
      <c r="R241" s="450" t="n"/>
      <c r="S241" s="443" t="n"/>
      <c r="T241" s="443" t="n"/>
      <c r="U241" s="443" t="n"/>
      <c r="V241" s="463" t="n"/>
      <c r="W241" s="443" t="n"/>
      <c r="X241" s="443" t="n"/>
      <c r="Y241" s="450" t="n"/>
      <c r="AB241" s="443" t="n"/>
      <c r="AF241" s="450" t="n"/>
      <c r="AH241" s="450" t="n"/>
      <c r="AI241" s="443" t="n"/>
      <c r="AK241" s="443" t="n"/>
      <c r="AM241" s="450" t="n"/>
      <c r="AN241" s="450" t="n"/>
      <c r="AP241" s="398" t="n"/>
      <c r="AQ241" s="286" t="n"/>
      <c r="AR241" s="450" t="n"/>
      <c r="AT241" s="450" t="n"/>
      <c r="AV241" s="450" t="n"/>
    </row>
    <row r="242">
      <c r="O242" s="443" t="n"/>
      <c r="P242" s="443" t="n"/>
      <c r="R242" s="450" t="n"/>
      <c r="S242" s="443" t="n"/>
      <c r="T242" s="443" t="n"/>
      <c r="U242" s="443" t="n"/>
      <c r="V242" s="463" t="n"/>
      <c r="W242" s="443" t="n"/>
      <c r="X242" s="443" t="n"/>
      <c r="Y242" s="450" t="n"/>
      <c r="AB242" s="443" t="n"/>
      <c r="AF242" s="450" t="n"/>
      <c r="AH242" s="450" t="n"/>
      <c r="AI242" s="443" t="n"/>
      <c r="AK242" s="443" t="n"/>
      <c r="AM242" s="450" t="n"/>
      <c r="AN242" s="450" t="n"/>
      <c r="AP242" s="398" t="n"/>
      <c r="AQ242" s="286" t="n"/>
      <c r="AR242" s="450" t="n"/>
      <c r="AT242" s="450" t="n"/>
      <c r="AV242" s="450" t="n"/>
    </row>
    <row r="243">
      <c r="O243" s="443" t="n"/>
      <c r="P243" s="443" t="n"/>
      <c r="R243" s="450" t="n"/>
      <c r="S243" s="443" t="n"/>
      <c r="T243" s="443" t="n"/>
      <c r="U243" s="443" t="n"/>
      <c r="V243" s="463" t="n"/>
      <c r="W243" s="443" t="n"/>
      <c r="X243" s="443" t="n"/>
      <c r="Y243" s="450" t="n"/>
      <c r="AB243" s="443" t="n"/>
      <c r="AF243" s="450" t="n"/>
      <c r="AH243" s="450" t="n"/>
      <c r="AI243" s="443" t="n"/>
      <c r="AK243" s="443" t="n"/>
      <c r="AM243" s="450" t="n"/>
      <c r="AN243" s="450" t="n"/>
      <c r="AP243" s="398" t="n"/>
      <c r="AQ243" s="286" t="n"/>
      <c r="AR243" s="450" t="n"/>
      <c r="AT243" s="450" t="n"/>
      <c r="AV243" s="450" t="n"/>
    </row>
    <row r="244">
      <c r="O244" s="443" t="n"/>
      <c r="P244" s="443" t="n"/>
      <c r="R244" s="450" t="n"/>
      <c r="S244" s="443" t="n"/>
      <c r="T244" s="443" t="n"/>
      <c r="U244" s="443" t="n"/>
      <c r="V244" s="463" t="n"/>
      <c r="W244" s="443" t="n"/>
      <c r="X244" s="443" t="n"/>
      <c r="Y244" s="450" t="n"/>
      <c r="AB244" s="443" t="n"/>
      <c r="AF244" s="450" t="n"/>
      <c r="AH244" s="450" t="n"/>
      <c r="AI244" s="443" t="n"/>
      <c r="AK244" s="443" t="n"/>
      <c r="AM244" s="450" t="n"/>
      <c r="AN244" s="450" t="n"/>
      <c r="AP244" s="398" t="n"/>
      <c r="AQ244" s="286" t="n"/>
      <c r="AR244" s="450" t="n"/>
      <c r="AT244" s="450" t="n"/>
      <c r="AV244" s="450" t="n"/>
    </row>
    <row r="245">
      <c r="O245" s="443" t="n"/>
      <c r="P245" s="443" t="n"/>
      <c r="R245" s="450" t="n"/>
      <c r="S245" s="443" t="n"/>
      <c r="T245" s="443" t="n"/>
      <c r="U245" s="443" t="n"/>
      <c r="V245" s="463" t="n"/>
      <c r="W245" s="443" t="n"/>
      <c r="X245" s="443" t="n"/>
      <c r="Y245" s="450" t="n"/>
      <c r="AB245" s="443" t="n"/>
      <c r="AF245" s="450" t="n"/>
      <c r="AH245" s="450" t="n"/>
      <c r="AI245" s="443" t="n"/>
      <c r="AK245" s="443" t="n"/>
      <c r="AM245" s="450" t="n"/>
      <c r="AN245" s="450" t="n"/>
      <c r="AP245" s="398" t="n"/>
      <c r="AQ245" s="286" t="n"/>
      <c r="AR245" s="450" t="n"/>
      <c r="AT245" s="450" t="n"/>
      <c r="AV245" s="450" t="n"/>
    </row>
    <row r="246">
      <c r="O246" s="443" t="n"/>
      <c r="P246" s="443" t="n"/>
      <c r="R246" s="450" t="n"/>
      <c r="S246" s="443" t="n"/>
      <c r="T246" s="443" t="n"/>
      <c r="U246" s="443" t="n"/>
      <c r="V246" s="463" t="n"/>
      <c r="W246" s="443" t="n"/>
      <c r="X246" s="443" t="n"/>
      <c r="Y246" s="450" t="n"/>
      <c r="AB246" s="443" t="n"/>
      <c r="AF246" s="450" t="n"/>
      <c r="AH246" s="450" t="n"/>
      <c r="AI246" s="443" t="n"/>
      <c r="AK246" s="443" t="n"/>
      <c r="AM246" s="450" t="n"/>
      <c r="AN246" s="450" t="n"/>
      <c r="AP246" s="398" t="n"/>
      <c r="AQ246" s="286" t="n"/>
      <c r="AR246" s="450" t="n"/>
      <c r="AT246" s="450" t="n"/>
      <c r="AV246" s="450" t="n"/>
    </row>
    <row r="247">
      <c r="O247" s="443" t="n"/>
      <c r="P247" s="443" t="n"/>
      <c r="R247" s="450" t="n"/>
      <c r="S247" s="443" t="n"/>
      <c r="T247" s="443" t="n"/>
      <c r="U247" s="443" t="n"/>
      <c r="V247" s="463" t="n"/>
      <c r="W247" s="443" t="n"/>
      <c r="X247" s="443" t="n"/>
      <c r="Y247" s="450" t="n"/>
      <c r="AB247" s="443" t="n"/>
      <c r="AF247" s="450" t="n"/>
      <c r="AH247" s="450" t="n"/>
      <c r="AI247" s="443" t="n"/>
      <c r="AK247" s="443" t="n"/>
      <c r="AM247" s="450" t="n"/>
      <c r="AN247" s="450" t="n"/>
      <c r="AP247" s="398" t="n"/>
      <c r="AQ247" s="286" t="n"/>
      <c r="AR247" s="450" t="n"/>
      <c r="AT247" s="450" t="n"/>
      <c r="AV247" s="450" t="n"/>
    </row>
    <row r="248">
      <c r="O248" s="443" t="n"/>
      <c r="P248" s="443" t="n"/>
      <c r="R248" s="450" t="n"/>
      <c r="S248" s="443" t="n"/>
      <c r="T248" s="443" t="n"/>
      <c r="U248" s="443" t="n"/>
      <c r="V248" s="463" t="n"/>
      <c r="W248" s="443" t="n"/>
      <c r="X248" s="443" t="n"/>
      <c r="Y248" s="450" t="n"/>
      <c r="AB248" s="443" t="n"/>
      <c r="AF248" s="450" t="n"/>
      <c r="AH248" s="450" t="n"/>
      <c r="AI248" s="443" t="n"/>
      <c r="AK248" s="443" t="n"/>
      <c r="AM248" s="450" t="n"/>
      <c r="AN248" s="450" t="n"/>
      <c r="AP248" s="398" t="n"/>
      <c r="AQ248" s="286" t="n"/>
      <c r="AR248" s="450" t="n"/>
      <c r="AT248" s="450" t="n"/>
      <c r="AV248" s="450" t="n"/>
    </row>
    <row r="249">
      <c r="O249" s="443" t="n"/>
      <c r="P249" s="443" t="n"/>
      <c r="R249" s="450" t="n"/>
      <c r="S249" s="443" t="n"/>
      <c r="T249" s="443" t="n"/>
      <c r="U249" s="443" t="n"/>
      <c r="V249" s="463" t="n"/>
      <c r="W249" s="443" t="n"/>
      <c r="X249" s="443" t="n"/>
      <c r="Y249" s="450" t="n"/>
      <c r="AB249" s="443" t="n"/>
      <c r="AF249" s="450" t="n"/>
      <c r="AH249" s="450" t="n"/>
      <c r="AI249" s="443" t="n"/>
      <c r="AK249" s="443" t="n"/>
      <c r="AM249" s="450" t="n"/>
      <c r="AN249" s="450" t="n"/>
      <c r="AP249" s="398" t="n"/>
      <c r="AQ249" s="286" t="n"/>
      <c r="AR249" s="450" t="n"/>
      <c r="AT249" s="450" t="n"/>
      <c r="AV249" s="450" t="n"/>
    </row>
    <row r="250">
      <c r="O250" s="443" t="n"/>
      <c r="P250" s="443" t="n"/>
      <c r="R250" s="450" t="n"/>
      <c r="S250" s="443" t="n"/>
      <c r="T250" s="443" t="n"/>
      <c r="U250" s="443" t="n"/>
      <c r="V250" s="463" t="n"/>
      <c r="W250" s="443" t="n"/>
      <c r="X250" s="443" t="n"/>
      <c r="Y250" s="450" t="n"/>
      <c r="AB250" s="443" t="n"/>
      <c r="AF250" s="450" t="n"/>
      <c r="AH250" s="450" t="n"/>
      <c r="AI250" s="443" t="n"/>
      <c r="AK250" s="443" t="n"/>
      <c r="AM250" s="450" t="n"/>
      <c r="AN250" s="450" t="n"/>
      <c r="AP250" s="398" t="n"/>
      <c r="AQ250" s="286" t="n"/>
      <c r="AR250" s="450" t="n"/>
      <c r="AT250" s="450" t="n"/>
      <c r="AV250" s="450" t="n"/>
    </row>
    <row r="251">
      <c r="O251" s="443" t="n"/>
      <c r="P251" s="443" t="n"/>
      <c r="R251" s="450" t="n"/>
      <c r="S251" s="443" t="n"/>
      <c r="T251" s="443" t="n"/>
      <c r="U251" s="443" t="n"/>
      <c r="V251" s="463" t="n"/>
      <c r="W251" s="443" t="n"/>
      <c r="X251" s="443" t="n"/>
      <c r="Y251" s="450" t="n"/>
      <c r="AB251" s="443" t="n"/>
      <c r="AF251" s="450" t="n"/>
      <c r="AH251" s="450" t="n"/>
      <c r="AI251" s="443" t="n"/>
      <c r="AK251" s="443" t="n"/>
      <c r="AM251" s="450" t="n"/>
      <c r="AN251" s="450" t="n"/>
      <c r="AP251" s="398" t="n"/>
      <c r="AQ251" s="286" t="n"/>
      <c r="AR251" s="450" t="n"/>
      <c r="AT251" s="450" t="n"/>
      <c r="AV251" s="450" t="n"/>
    </row>
    <row r="252">
      <c r="O252" s="443" t="n"/>
      <c r="P252" s="443" t="n"/>
      <c r="R252" s="450" t="n"/>
      <c r="S252" s="443" t="n"/>
      <c r="T252" s="443" t="n"/>
      <c r="U252" s="443" t="n"/>
      <c r="V252" s="463" t="n"/>
      <c r="W252" s="443" t="n"/>
      <c r="X252" s="443" t="n"/>
      <c r="Y252" s="450" t="n"/>
      <c r="AB252" s="443" t="n"/>
      <c r="AF252" s="450" t="n"/>
      <c r="AH252" s="450" t="n"/>
      <c r="AI252" s="443" t="n"/>
      <c r="AK252" s="443" t="n"/>
      <c r="AM252" s="450" t="n"/>
      <c r="AN252" s="450" t="n"/>
      <c r="AP252" s="398" t="n"/>
      <c r="AQ252" s="286" t="n"/>
      <c r="AR252" s="450" t="n"/>
      <c r="AT252" s="450" t="n"/>
      <c r="AV252" s="450" t="n"/>
    </row>
    <row r="253">
      <c r="O253" s="443" t="n"/>
      <c r="P253" s="443" t="n"/>
      <c r="R253" s="450" t="n"/>
      <c r="S253" s="443" t="n"/>
      <c r="T253" s="443" t="n"/>
      <c r="U253" s="443" t="n"/>
      <c r="V253" s="463" t="n"/>
      <c r="W253" s="443" t="n"/>
      <c r="X253" s="443" t="n"/>
      <c r="Y253" s="450" t="n"/>
      <c r="AB253" s="443" t="n"/>
      <c r="AF253" s="450" t="n"/>
      <c r="AH253" s="450" t="n"/>
      <c r="AI253" s="443" t="n"/>
      <c r="AK253" s="443" t="n"/>
      <c r="AM253" s="450" t="n"/>
      <c r="AN253" s="450" t="n"/>
      <c r="AP253" s="398" t="n"/>
      <c r="AQ253" s="286" t="n"/>
      <c r="AR253" s="450" t="n"/>
      <c r="AT253" s="450" t="n"/>
      <c r="AV253" s="450" t="n"/>
    </row>
    <row r="254">
      <c r="O254" s="443" t="n"/>
      <c r="P254" s="443" t="n"/>
      <c r="R254" s="450" t="n"/>
      <c r="S254" s="443" t="n"/>
      <c r="T254" s="443" t="n"/>
      <c r="U254" s="443" t="n"/>
      <c r="V254" s="463" t="n"/>
      <c r="W254" s="443" t="n"/>
      <c r="X254" s="443" t="n"/>
      <c r="Y254" s="450" t="n"/>
      <c r="AB254" s="443" t="n"/>
      <c r="AF254" s="450" t="n"/>
      <c r="AH254" s="450" t="n"/>
      <c r="AI254" s="443" t="n"/>
      <c r="AK254" s="443" t="n"/>
      <c r="AM254" s="450" t="n"/>
      <c r="AN254" s="450" t="n"/>
      <c r="AP254" s="398" t="n"/>
      <c r="AQ254" s="286" t="n"/>
      <c r="AR254" s="450" t="n"/>
      <c r="AT254" s="450" t="n"/>
      <c r="AV254" s="450" t="n"/>
    </row>
    <row r="255">
      <c r="O255" s="443" t="n"/>
      <c r="P255" s="443" t="n"/>
      <c r="R255" s="450" t="n"/>
      <c r="S255" s="443" t="n"/>
      <c r="T255" s="443" t="n"/>
      <c r="U255" s="443" t="n"/>
      <c r="V255" s="463" t="n"/>
      <c r="W255" s="443" t="n"/>
      <c r="X255" s="443" t="n"/>
      <c r="Y255" s="450" t="n"/>
      <c r="AB255" s="443" t="n"/>
      <c r="AF255" s="450" t="n"/>
      <c r="AH255" s="450" t="n"/>
      <c r="AI255" s="443" t="n"/>
      <c r="AK255" s="443" t="n"/>
      <c r="AM255" s="450" t="n"/>
      <c r="AN255" s="450" t="n"/>
      <c r="AP255" s="398" t="n"/>
      <c r="AQ255" s="286" t="n"/>
      <c r="AR255" s="450" t="n"/>
      <c r="AT255" s="450" t="n"/>
      <c r="AV255" s="450" t="n"/>
    </row>
    <row r="256">
      <c r="O256" s="443" t="n"/>
      <c r="P256" s="443" t="n"/>
      <c r="R256" s="450" t="n"/>
      <c r="S256" s="443" t="n"/>
      <c r="T256" s="443" t="n"/>
      <c r="U256" s="443" t="n"/>
      <c r="V256" s="463" t="n"/>
      <c r="W256" s="443" t="n"/>
      <c r="X256" s="443" t="n"/>
      <c r="Y256" s="450" t="n"/>
      <c r="AB256" s="443" t="n"/>
      <c r="AF256" s="450" t="n"/>
      <c r="AH256" s="450" t="n"/>
      <c r="AI256" s="443" t="n"/>
      <c r="AK256" s="443" t="n"/>
      <c r="AM256" s="450" t="n"/>
      <c r="AN256" s="450" t="n"/>
      <c r="AP256" s="398" t="n"/>
      <c r="AQ256" s="286" t="n"/>
      <c r="AR256" s="450" t="n"/>
      <c r="AT256" s="450" t="n"/>
      <c r="AV256" s="450" t="n"/>
    </row>
    <row r="257">
      <c r="O257" s="443" t="n"/>
      <c r="P257" s="443" t="n"/>
      <c r="R257" s="450" t="n"/>
      <c r="S257" s="443" t="n"/>
      <c r="T257" s="443" t="n"/>
      <c r="U257" s="443" t="n"/>
      <c r="V257" s="463" t="n"/>
      <c r="W257" s="443" t="n"/>
      <c r="X257" s="443" t="n"/>
      <c r="Y257" s="450" t="n"/>
      <c r="AB257" s="443" t="n"/>
      <c r="AF257" s="450" t="n"/>
      <c r="AH257" s="450" t="n"/>
      <c r="AI257" s="443" t="n"/>
      <c r="AK257" s="443" t="n"/>
      <c r="AM257" s="450" t="n"/>
      <c r="AN257" s="450" t="n"/>
      <c r="AP257" s="398" t="n"/>
      <c r="AQ257" s="286" t="n"/>
      <c r="AR257" s="450" t="n"/>
      <c r="AT257" s="450" t="n"/>
      <c r="AV257" s="450" t="n"/>
    </row>
    <row r="258">
      <c r="O258" s="443" t="n"/>
      <c r="P258" s="443" t="n"/>
      <c r="R258" s="450" t="n"/>
      <c r="S258" s="443" t="n"/>
      <c r="T258" s="443" t="n"/>
      <c r="U258" s="443" t="n"/>
      <c r="V258" s="463" t="n"/>
      <c r="W258" s="443" t="n"/>
      <c r="X258" s="443" t="n"/>
      <c r="Y258" s="450" t="n"/>
      <c r="AB258" s="443" t="n"/>
      <c r="AF258" s="450" t="n"/>
      <c r="AH258" s="450" t="n"/>
      <c r="AI258" s="443" t="n"/>
      <c r="AK258" s="443" t="n"/>
      <c r="AM258" s="450" t="n"/>
      <c r="AN258" s="450" t="n"/>
      <c r="AP258" s="398" t="n"/>
      <c r="AQ258" s="286" t="n"/>
      <c r="AR258" s="450" t="n"/>
      <c r="AT258" s="450" t="n"/>
      <c r="AV258" s="450" t="n"/>
    </row>
    <row r="259">
      <c r="O259" s="443" t="n"/>
      <c r="P259" s="443" t="n"/>
      <c r="R259" s="450" t="n"/>
      <c r="S259" s="443" t="n"/>
      <c r="T259" s="443" t="n"/>
      <c r="U259" s="443" t="n"/>
      <c r="V259" s="463" t="n"/>
      <c r="W259" s="443" t="n"/>
      <c r="X259" s="443" t="n"/>
      <c r="Y259" s="450" t="n"/>
      <c r="AB259" s="443" t="n"/>
      <c r="AF259" s="450" t="n"/>
      <c r="AH259" s="450" t="n"/>
      <c r="AI259" s="443" t="n"/>
      <c r="AK259" s="443" t="n"/>
      <c r="AM259" s="450" t="n"/>
      <c r="AN259" s="450" t="n"/>
      <c r="AP259" s="398" t="n"/>
      <c r="AQ259" s="286" t="n"/>
      <c r="AR259" s="450" t="n"/>
      <c r="AT259" s="450" t="n"/>
      <c r="AV259" s="450" t="n"/>
    </row>
    <row r="260">
      <c r="O260" s="443" t="n"/>
      <c r="P260" s="443" t="n"/>
      <c r="R260" s="450" t="n"/>
      <c r="S260" s="443" t="n"/>
      <c r="T260" s="443" t="n"/>
      <c r="U260" s="443" t="n"/>
      <c r="V260" s="463" t="n"/>
      <c r="W260" s="443" t="n"/>
      <c r="X260" s="443" t="n"/>
      <c r="Y260" s="450" t="n"/>
      <c r="AB260" s="443" t="n"/>
      <c r="AF260" s="450" t="n"/>
      <c r="AH260" s="450" t="n"/>
      <c r="AI260" s="443" t="n"/>
      <c r="AK260" s="443" t="n"/>
      <c r="AM260" s="450" t="n"/>
      <c r="AN260" s="450" t="n"/>
      <c r="AP260" s="398" t="n"/>
      <c r="AQ260" s="286" t="n"/>
      <c r="AR260" s="450" t="n"/>
      <c r="AT260" s="450" t="n"/>
      <c r="AV260" s="450" t="n"/>
    </row>
    <row r="261">
      <c r="O261" s="443" t="n"/>
      <c r="P261" s="443" t="n"/>
      <c r="R261" s="450" t="n"/>
      <c r="S261" s="443" t="n"/>
      <c r="T261" s="443" t="n"/>
      <c r="U261" s="443" t="n"/>
      <c r="V261" s="463" t="n"/>
      <c r="W261" s="443" t="n"/>
      <c r="X261" s="443" t="n"/>
      <c r="Y261" s="450" t="n"/>
      <c r="AB261" s="443" t="n"/>
      <c r="AF261" s="450" t="n"/>
      <c r="AH261" s="450" t="n"/>
      <c r="AI261" s="443" t="n"/>
      <c r="AK261" s="443" t="n"/>
      <c r="AM261" s="450" t="n"/>
      <c r="AN261" s="450" t="n"/>
      <c r="AP261" s="398" t="n"/>
      <c r="AQ261" s="286" t="n"/>
      <c r="AR261" s="450" t="n"/>
      <c r="AT261" s="450" t="n"/>
      <c r="AV261" s="450" t="n"/>
    </row>
    <row r="262">
      <c r="O262" s="443" t="n"/>
      <c r="P262" s="443" t="n"/>
      <c r="R262" s="450" t="n"/>
      <c r="S262" s="443" t="n"/>
      <c r="T262" s="443" t="n"/>
      <c r="U262" s="443" t="n"/>
      <c r="V262" s="463" t="n"/>
      <c r="W262" s="443" t="n"/>
      <c r="X262" s="443" t="n"/>
      <c r="Y262" s="450" t="n"/>
      <c r="AB262" s="443" t="n"/>
      <c r="AF262" s="450" t="n"/>
      <c r="AH262" s="450" t="n"/>
      <c r="AI262" s="443" t="n"/>
      <c r="AK262" s="443" t="n"/>
      <c r="AM262" s="450" t="n"/>
      <c r="AN262" s="450" t="n"/>
      <c r="AP262" s="398" t="n"/>
      <c r="AQ262" s="286" t="n"/>
      <c r="AR262" s="450" t="n"/>
      <c r="AT262" s="450" t="n"/>
      <c r="AV262" s="450" t="n"/>
    </row>
    <row r="263">
      <c r="O263" s="443" t="n"/>
      <c r="P263" s="443" t="n"/>
      <c r="R263" s="450" t="n"/>
      <c r="S263" s="443" t="n"/>
      <c r="T263" s="443" t="n"/>
      <c r="U263" s="443" t="n"/>
      <c r="V263" s="463" t="n"/>
      <c r="W263" s="443" t="n"/>
      <c r="X263" s="443" t="n"/>
      <c r="Y263" s="450" t="n"/>
      <c r="AB263" s="443" t="n"/>
      <c r="AF263" s="450" t="n"/>
      <c r="AH263" s="450" t="n"/>
      <c r="AI263" s="443" t="n"/>
      <c r="AK263" s="443" t="n"/>
      <c r="AM263" s="450" t="n"/>
      <c r="AN263" s="450" t="n"/>
      <c r="AP263" s="398" t="n"/>
      <c r="AQ263" s="286" t="n"/>
      <c r="AR263" s="450" t="n"/>
      <c r="AT263" s="450" t="n"/>
      <c r="AV263" s="450" t="n"/>
    </row>
    <row r="264">
      <c r="O264" s="443" t="n"/>
      <c r="P264" s="443" t="n"/>
      <c r="R264" s="450" t="n"/>
      <c r="S264" s="443" t="n"/>
      <c r="T264" s="443" t="n"/>
      <c r="U264" s="443" t="n"/>
      <c r="V264" s="463" t="n"/>
      <c r="W264" s="443" t="n"/>
      <c r="X264" s="443" t="n"/>
      <c r="Y264" s="450" t="n"/>
      <c r="AB264" s="443" t="n"/>
      <c r="AF264" s="450" t="n"/>
      <c r="AH264" s="450" t="n"/>
      <c r="AI264" s="443" t="n"/>
      <c r="AK264" s="443" t="n"/>
      <c r="AM264" s="450" t="n"/>
      <c r="AN264" s="450" t="n"/>
      <c r="AP264" s="398" t="n"/>
      <c r="AQ264" s="286" t="n"/>
      <c r="AR264" s="450" t="n"/>
      <c r="AT264" s="450" t="n"/>
      <c r="AV264" s="450" t="n"/>
    </row>
    <row r="265">
      <c r="O265" s="443" t="n"/>
      <c r="P265" s="443" t="n"/>
      <c r="R265" s="450" t="n"/>
      <c r="S265" s="443" t="n"/>
      <c r="T265" s="443" t="n"/>
      <c r="U265" s="443" t="n"/>
      <c r="V265" s="463" t="n"/>
      <c r="W265" s="443" t="n"/>
      <c r="X265" s="443" t="n"/>
      <c r="Y265" s="450" t="n"/>
      <c r="AB265" s="443" t="n"/>
      <c r="AF265" s="450" t="n"/>
      <c r="AH265" s="450" t="n"/>
      <c r="AI265" s="443" t="n"/>
      <c r="AK265" s="443" t="n"/>
      <c r="AM265" s="450" t="n"/>
      <c r="AN265" s="450" t="n"/>
      <c r="AP265" s="398" t="n"/>
      <c r="AQ265" s="286" t="n"/>
      <c r="AR265" s="450" t="n"/>
      <c r="AT265" s="450" t="n"/>
      <c r="AV265" s="450" t="n"/>
    </row>
    <row r="266">
      <c r="O266" s="443" t="n"/>
      <c r="P266" s="443" t="n"/>
      <c r="R266" s="450" t="n"/>
      <c r="S266" s="443" t="n"/>
      <c r="T266" s="443" t="n"/>
      <c r="U266" s="443" t="n"/>
      <c r="V266" s="463" t="n"/>
      <c r="W266" s="443" t="n"/>
      <c r="X266" s="443" t="n"/>
      <c r="Y266" s="450" t="n"/>
      <c r="AB266" s="443" t="n"/>
      <c r="AF266" s="450" t="n"/>
      <c r="AH266" s="450" t="n"/>
      <c r="AI266" s="443" t="n"/>
      <c r="AK266" s="443" t="n"/>
      <c r="AM266" s="450" t="n"/>
      <c r="AN266" s="450" t="n"/>
      <c r="AP266" s="398" t="n"/>
      <c r="AQ266" s="286" t="n"/>
      <c r="AR266" s="450" t="n"/>
      <c r="AT266" s="450" t="n"/>
      <c r="AV266" s="450" t="n"/>
    </row>
    <row r="267">
      <c r="O267" s="443" t="n"/>
      <c r="P267" s="443" t="n"/>
      <c r="R267" s="450" t="n"/>
      <c r="S267" s="443" t="n"/>
      <c r="T267" s="443" t="n"/>
      <c r="U267" s="443" t="n"/>
      <c r="V267" s="463" t="n"/>
      <c r="W267" s="443" t="n"/>
      <c r="X267" s="443" t="n"/>
      <c r="Y267" s="450" t="n"/>
      <c r="AB267" s="443" t="n"/>
      <c r="AF267" s="450" t="n"/>
      <c r="AH267" s="450" t="n"/>
      <c r="AI267" s="443" t="n"/>
      <c r="AK267" s="443" t="n"/>
      <c r="AM267" s="450" t="n"/>
      <c r="AN267" s="450" t="n"/>
      <c r="AP267" s="398" t="n"/>
      <c r="AQ267" s="286" t="n"/>
      <c r="AR267" s="450" t="n"/>
      <c r="AT267" s="450" t="n"/>
      <c r="AV267" s="450" t="n"/>
    </row>
    <row r="268">
      <c r="O268" s="443" t="n"/>
      <c r="P268" s="443" t="n"/>
      <c r="R268" s="450" t="n"/>
      <c r="S268" s="443" t="n"/>
      <c r="T268" s="443" t="n"/>
      <c r="U268" s="443" t="n"/>
      <c r="V268" s="463" t="n"/>
      <c r="W268" s="443" t="n"/>
      <c r="X268" s="443" t="n"/>
      <c r="Y268" s="450" t="n"/>
      <c r="AB268" s="443" t="n"/>
      <c r="AF268" s="450" t="n"/>
      <c r="AH268" s="450" t="n"/>
      <c r="AI268" s="443" t="n"/>
      <c r="AK268" s="443" t="n"/>
      <c r="AM268" s="450" t="n"/>
      <c r="AN268" s="450" t="n"/>
      <c r="AP268" s="398" t="n"/>
      <c r="AQ268" s="286" t="n"/>
      <c r="AR268" s="450" t="n"/>
      <c r="AT268" s="450" t="n"/>
      <c r="AV268" s="450" t="n"/>
    </row>
    <row r="269">
      <c r="O269" s="443" t="n"/>
      <c r="P269" s="443" t="n"/>
      <c r="R269" s="450" t="n"/>
      <c r="S269" s="443" t="n"/>
      <c r="T269" s="443" t="n"/>
      <c r="U269" s="443" t="n"/>
      <c r="V269" s="463" t="n"/>
      <c r="W269" s="443" t="n"/>
      <c r="X269" s="443" t="n"/>
      <c r="Y269" s="450" t="n"/>
      <c r="AB269" s="443" t="n"/>
      <c r="AF269" s="450" t="n"/>
      <c r="AH269" s="450" t="n"/>
      <c r="AI269" s="443" t="n"/>
      <c r="AK269" s="443" t="n"/>
      <c r="AM269" s="450" t="n"/>
      <c r="AN269" s="450" t="n"/>
      <c r="AP269" s="398" t="n"/>
      <c r="AQ269" s="286" t="n"/>
      <c r="AR269" s="450" t="n"/>
      <c r="AT269" s="450" t="n"/>
      <c r="AV269" s="450" t="n"/>
    </row>
    <row r="270">
      <c r="O270" s="443" t="n"/>
      <c r="P270" s="443" t="n"/>
      <c r="R270" s="450" t="n"/>
      <c r="S270" s="443" t="n"/>
      <c r="T270" s="443" t="n"/>
      <c r="U270" s="443" t="n"/>
      <c r="V270" s="463" t="n"/>
      <c r="W270" s="443" t="n"/>
      <c r="X270" s="443" t="n"/>
      <c r="Y270" s="450" t="n"/>
      <c r="AB270" s="443" t="n"/>
      <c r="AF270" s="450" t="n"/>
      <c r="AH270" s="450" t="n"/>
      <c r="AI270" s="443" t="n"/>
      <c r="AK270" s="443" t="n"/>
      <c r="AM270" s="450" t="n"/>
      <c r="AN270" s="450" t="n"/>
      <c r="AP270" s="398" t="n"/>
      <c r="AQ270" s="286" t="n"/>
      <c r="AR270" s="450" t="n"/>
      <c r="AT270" s="450" t="n"/>
      <c r="AV270" s="450" t="n"/>
    </row>
    <row r="271">
      <c r="O271" s="443" t="n"/>
      <c r="P271" s="443" t="n"/>
      <c r="R271" s="450" t="n"/>
      <c r="S271" s="443" t="n"/>
      <c r="T271" s="443" t="n"/>
      <c r="U271" s="443" t="n"/>
      <c r="V271" s="463" t="n"/>
      <c r="W271" s="443" t="n"/>
      <c r="X271" s="443" t="n"/>
      <c r="Y271" s="450" t="n"/>
      <c r="AB271" s="443" t="n"/>
      <c r="AF271" s="450" t="n"/>
      <c r="AH271" s="450" t="n"/>
      <c r="AI271" s="443" t="n"/>
      <c r="AK271" s="443" t="n"/>
      <c r="AM271" s="450" t="n"/>
      <c r="AN271" s="450" t="n"/>
      <c r="AP271" s="398" t="n"/>
      <c r="AQ271" s="286" t="n"/>
      <c r="AR271" s="450" t="n"/>
      <c r="AT271" s="450" t="n"/>
      <c r="AV271" s="450" t="n"/>
    </row>
    <row r="272">
      <c r="O272" s="443" t="n"/>
      <c r="P272" s="443" t="n"/>
      <c r="R272" s="450" t="n"/>
      <c r="S272" s="443" t="n"/>
      <c r="T272" s="443" t="n"/>
      <c r="U272" s="443" t="n"/>
      <c r="V272" s="463" t="n"/>
      <c r="W272" s="443" t="n"/>
      <c r="X272" s="443" t="n"/>
      <c r="Y272" s="450" t="n"/>
      <c r="AB272" s="443" t="n"/>
      <c r="AF272" s="450" t="n"/>
      <c r="AH272" s="450" t="n"/>
      <c r="AI272" s="443" t="n"/>
      <c r="AK272" s="443" t="n"/>
      <c r="AM272" s="450" t="n"/>
      <c r="AN272" s="450" t="n"/>
      <c r="AP272" s="398" t="n"/>
      <c r="AQ272" s="286" t="n"/>
      <c r="AR272" s="450" t="n"/>
      <c r="AT272" s="450" t="n"/>
      <c r="AV272" s="450" t="n"/>
    </row>
    <row r="273">
      <c r="O273" s="443" t="n"/>
      <c r="P273" s="443" t="n"/>
      <c r="R273" s="450" t="n"/>
      <c r="S273" s="443" t="n"/>
      <c r="T273" s="443" t="n"/>
      <c r="U273" s="443" t="n"/>
      <c r="V273" s="463" t="n"/>
      <c r="W273" s="443" t="n"/>
      <c r="X273" s="443" t="n"/>
      <c r="Y273" s="450" t="n"/>
      <c r="AB273" s="443" t="n"/>
      <c r="AF273" s="450" t="n"/>
      <c r="AH273" s="450" t="n"/>
      <c r="AI273" s="443" t="n"/>
      <c r="AK273" s="443" t="n"/>
      <c r="AM273" s="450" t="n"/>
      <c r="AN273" s="450" t="n"/>
      <c r="AP273" s="398" t="n"/>
      <c r="AQ273" s="286" t="n"/>
      <c r="AR273" s="450" t="n"/>
      <c r="AT273" s="450" t="n"/>
      <c r="AV273" s="450" t="n"/>
    </row>
    <row r="274">
      <c r="O274" s="443" t="n"/>
      <c r="P274" s="443" t="n"/>
      <c r="R274" s="450" t="n"/>
      <c r="S274" s="443" t="n"/>
      <c r="T274" s="443" t="n"/>
      <c r="U274" s="443" t="n"/>
      <c r="V274" s="463" t="n"/>
      <c r="W274" s="443" t="n"/>
      <c r="X274" s="443" t="n"/>
      <c r="Y274" s="450" t="n"/>
      <c r="AB274" s="443" t="n"/>
      <c r="AF274" s="450" t="n"/>
      <c r="AH274" s="450" t="n"/>
      <c r="AI274" s="443" t="n"/>
      <c r="AK274" s="443" t="n"/>
      <c r="AM274" s="450" t="n"/>
      <c r="AN274" s="450" t="n"/>
      <c r="AP274" s="398" t="n"/>
      <c r="AQ274" s="286" t="n"/>
      <c r="AR274" s="450" t="n"/>
      <c r="AT274" s="450" t="n"/>
      <c r="AV274" s="450" t="n"/>
    </row>
    <row r="275">
      <c r="O275" s="443" t="n"/>
      <c r="P275" s="443" t="n"/>
      <c r="R275" s="450" t="n"/>
      <c r="S275" s="443" t="n"/>
      <c r="T275" s="443" t="n"/>
      <c r="U275" s="443" t="n"/>
      <c r="V275" s="463" t="n"/>
      <c r="W275" s="443" t="n"/>
      <c r="X275" s="443" t="n"/>
      <c r="Y275" s="450" t="n"/>
      <c r="AB275" s="443" t="n"/>
      <c r="AF275" s="450" t="n"/>
      <c r="AH275" s="450" t="n"/>
      <c r="AI275" s="443" t="n"/>
      <c r="AK275" s="443" t="n"/>
      <c r="AM275" s="450" t="n"/>
      <c r="AN275" s="450" t="n"/>
      <c r="AP275" s="398" t="n"/>
      <c r="AQ275" s="286" t="n"/>
      <c r="AR275" s="450" t="n"/>
      <c r="AT275" s="450" t="n"/>
      <c r="AV275" s="450" t="n"/>
    </row>
    <row r="276">
      <c r="O276" s="443" t="n"/>
      <c r="P276" s="443" t="n"/>
      <c r="R276" s="450" t="n"/>
      <c r="S276" s="443" t="n"/>
      <c r="T276" s="443" t="n"/>
      <c r="U276" s="443" t="n"/>
      <c r="V276" s="463" t="n"/>
      <c r="W276" s="443" t="n"/>
      <c r="X276" s="443" t="n"/>
      <c r="Y276" s="450" t="n"/>
      <c r="AB276" s="443" t="n"/>
      <c r="AF276" s="450" t="n"/>
      <c r="AH276" s="450" t="n"/>
      <c r="AI276" s="443" t="n"/>
      <c r="AK276" s="443" t="n"/>
      <c r="AM276" s="450" t="n"/>
      <c r="AN276" s="450" t="n"/>
      <c r="AP276" s="398" t="n"/>
      <c r="AQ276" s="286" t="n"/>
      <c r="AR276" s="450" t="n"/>
      <c r="AT276" s="450" t="n"/>
      <c r="AV276" s="450" t="n"/>
    </row>
    <row r="277">
      <c r="O277" s="443" t="n"/>
      <c r="P277" s="443" t="n"/>
      <c r="R277" s="450" t="n"/>
      <c r="S277" s="443" t="n"/>
      <c r="T277" s="443" t="n"/>
      <c r="U277" s="443" t="n"/>
      <c r="V277" s="463" t="n"/>
      <c r="W277" s="443" t="n"/>
      <c r="X277" s="443" t="n"/>
      <c r="Y277" s="450" t="n"/>
      <c r="AB277" s="443" t="n"/>
      <c r="AF277" s="450" t="n"/>
      <c r="AH277" s="450" t="n"/>
      <c r="AI277" s="443" t="n"/>
      <c r="AK277" s="443" t="n"/>
      <c r="AM277" s="450" t="n"/>
      <c r="AN277" s="450" t="n"/>
      <c r="AP277" s="398" t="n"/>
      <c r="AQ277" s="286" t="n"/>
      <c r="AR277" s="450" t="n"/>
      <c r="AT277" s="450" t="n"/>
      <c r="AV277" s="450" t="n"/>
    </row>
    <row r="278">
      <c r="O278" s="443" t="n"/>
      <c r="P278" s="443" t="n"/>
      <c r="R278" s="450" t="n"/>
      <c r="S278" s="443" t="n"/>
      <c r="T278" s="443" t="n"/>
      <c r="U278" s="443" t="n"/>
      <c r="V278" s="463" t="n"/>
      <c r="W278" s="443" t="n"/>
      <c r="X278" s="443" t="n"/>
      <c r="Y278" s="450" t="n"/>
      <c r="AB278" s="443" t="n"/>
      <c r="AF278" s="450" t="n"/>
      <c r="AH278" s="450" t="n"/>
      <c r="AI278" s="443" t="n"/>
      <c r="AK278" s="443" t="n"/>
      <c r="AM278" s="450" t="n"/>
      <c r="AN278" s="450" t="n"/>
      <c r="AP278" s="398" t="n"/>
      <c r="AQ278" s="286" t="n"/>
      <c r="AR278" s="450" t="n"/>
      <c r="AT278" s="450" t="n"/>
      <c r="AV278" s="450" t="n"/>
    </row>
    <row r="279">
      <c r="O279" s="443" t="n"/>
      <c r="P279" s="443" t="n"/>
      <c r="R279" s="450" t="n"/>
      <c r="S279" s="443" t="n"/>
      <c r="T279" s="443" t="n"/>
      <c r="U279" s="443" t="n"/>
      <c r="V279" s="463" t="n"/>
      <c r="W279" s="443" t="n"/>
      <c r="X279" s="443" t="n"/>
      <c r="Y279" s="450" t="n"/>
      <c r="AB279" s="443" t="n"/>
      <c r="AF279" s="450" t="n"/>
      <c r="AH279" s="450" t="n"/>
      <c r="AI279" s="443" t="n"/>
      <c r="AK279" s="443" t="n"/>
      <c r="AM279" s="450" t="n"/>
      <c r="AN279" s="450" t="n"/>
      <c r="AP279" s="398" t="n"/>
      <c r="AQ279" s="286" t="n"/>
      <c r="AR279" s="450" t="n"/>
      <c r="AT279" s="450" t="n"/>
      <c r="AV279" s="450" t="n"/>
    </row>
    <row r="280">
      <c r="O280" s="443" t="n"/>
      <c r="P280" s="443" t="n"/>
      <c r="R280" s="450" t="n"/>
      <c r="S280" s="443" t="n"/>
      <c r="T280" s="443" t="n"/>
      <c r="U280" s="443" t="n"/>
      <c r="V280" s="463" t="n"/>
      <c r="W280" s="443" t="n"/>
      <c r="X280" s="443" t="n"/>
      <c r="Y280" s="450" t="n"/>
      <c r="AB280" s="443" t="n"/>
      <c r="AF280" s="450" t="n"/>
      <c r="AH280" s="450" t="n"/>
      <c r="AI280" s="443" t="n"/>
      <c r="AK280" s="443" t="n"/>
      <c r="AM280" s="450" t="n"/>
      <c r="AN280" s="450" t="n"/>
      <c r="AP280" s="398" t="n"/>
      <c r="AQ280" s="286" t="n"/>
      <c r="AR280" s="450" t="n"/>
      <c r="AT280" s="450" t="n"/>
      <c r="AV280" s="450" t="n"/>
    </row>
    <row r="281">
      <c r="O281" s="443" t="n"/>
      <c r="P281" s="443" t="n"/>
      <c r="R281" s="450" t="n"/>
      <c r="S281" s="443" t="n"/>
      <c r="T281" s="443" t="n"/>
      <c r="U281" s="443" t="n"/>
      <c r="V281" s="463" t="n"/>
      <c r="W281" s="443" t="n"/>
      <c r="X281" s="443" t="n"/>
      <c r="Y281" s="450" t="n"/>
      <c r="AB281" s="443" t="n"/>
      <c r="AF281" s="450" t="n"/>
      <c r="AH281" s="450" t="n"/>
      <c r="AI281" s="443" t="n"/>
      <c r="AK281" s="443" t="n"/>
      <c r="AM281" s="450" t="n"/>
      <c r="AN281" s="450" t="n"/>
      <c r="AP281" s="398" t="n"/>
      <c r="AQ281" s="286" t="n"/>
      <c r="AR281" s="450" t="n"/>
      <c r="AT281" s="450" t="n"/>
      <c r="AV281" s="450" t="n"/>
    </row>
    <row r="282">
      <c r="O282" s="443" t="n"/>
      <c r="P282" s="443" t="n"/>
      <c r="R282" s="450" t="n"/>
      <c r="S282" s="443" t="n"/>
      <c r="T282" s="443" t="n"/>
      <c r="U282" s="443" t="n"/>
      <c r="V282" s="463" t="n"/>
      <c r="W282" s="443" t="n"/>
      <c r="X282" s="443" t="n"/>
      <c r="Y282" s="450" t="n"/>
      <c r="AB282" s="443" t="n"/>
      <c r="AF282" s="450" t="n"/>
      <c r="AH282" s="450" t="n"/>
      <c r="AI282" s="443" t="n"/>
      <c r="AK282" s="443" t="n"/>
      <c r="AM282" s="450" t="n"/>
      <c r="AN282" s="450" t="n"/>
      <c r="AP282" s="398" t="n"/>
      <c r="AQ282" s="286" t="n"/>
      <c r="AR282" s="450" t="n"/>
      <c r="AT282" s="450" t="n"/>
      <c r="AV282" s="450" t="n"/>
    </row>
    <row r="283">
      <c r="O283" s="443" t="n"/>
      <c r="P283" s="443" t="n"/>
      <c r="R283" s="450" t="n"/>
      <c r="S283" s="443" t="n"/>
      <c r="T283" s="443" t="n"/>
      <c r="U283" s="443" t="n"/>
      <c r="V283" s="463" t="n"/>
      <c r="W283" s="443" t="n"/>
      <c r="X283" s="443" t="n"/>
      <c r="Y283" s="450" t="n"/>
      <c r="AB283" s="443" t="n"/>
      <c r="AF283" s="450" t="n"/>
      <c r="AH283" s="450" t="n"/>
      <c r="AI283" s="443" t="n"/>
      <c r="AK283" s="443" t="n"/>
      <c r="AM283" s="450" t="n"/>
      <c r="AN283" s="450" t="n"/>
      <c r="AP283" s="398" t="n"/>
      <c r="AQ283" s="286" t="n"/>
      <c r="AR283" s="450" t="n"/>
      <c r="AT283" s="450" t="n"/>
      <c r="AV283" s="450" t="n"/>
    </row>
    <row r="284">
      <c r="O284" s="443" t="n"/>
      <c r="P284" s="443" t="n"/>
      <c r="R284" s="450" t="n"/>
      <c r="S284" s="443" t="n"/>
      <c r="T284" s="443" t="n"/>
      <c r="U284" s="443" t="n"/>
      <c r="V284" s="463" t="n"/>
      <c r="W284" s="443" t="n"/>
      <c r="X284" s="443" t="n"/>
      <c r="Y284" s="450" t="n"/>
      <c r="AB284" s="443" t="n"/>
      <c r="AF284" s="450" t="n"/>
      <c r="AH284" s="450" t="n"/>
      <c r="AI284" s="443" t="n"/>
      <c r="AK284" s="443" t="n"/>
      <c r="AM284" s="450" t="n"/>
      <c r="AN284" s="450" t="n"/>
      <c r="AP284" s="398" t="n"/>
      <c r="AQ284" s="286" t="n"/>
      <c r="AR284" s="450" t="n"/>
      <c r="AT284" s="450" t="n"/>
      <c r="AV284" s="450" t="n"/>
    </row>
    <row r="285">
      <c r="O285" s="443" t="n"/>
      <c r="P285" s="443" t="n"/>
      <c r="R285" s="450" t="n"/>
      <c r="S285" s="443" t="n"/>
      <c r="T285" s="443" t="n"/>
      <c r="U285" s="443" t="n"/>
      <c r="V285" s="463" t="n"/>
      <c r="W285" s="443" t="n"/>
      <c r="X285" s="443" t="n"/>
      <c r="Y285" s="450" t="n"/>
      <c r="AB285" s="443" t="n"/>
      <c r="AF285" s="450" t="n"/>
      <c r="AH285" s="450" t="n"/>
      <c r="AI285" s="443" t="n"/>
      <c r="AK285" s="443" t="n"/>
      <c r="AM285" s="450" t="n"/>
      <c r="AN285" s="450" t="n"/>
      <c r="AP285" s="398" t="n"/>
      <c r="AQ285" s="286" t="n"/>
      <c r="AR285" s="450" t="n"/>
      <c r="AT285" s="450" t="n"/>
      <c r="AV285" s="450" t="n"/>
    </row>
    <row r="286">
      <c r="O286" s="443" t="n"/>
      <c r="P286" s="443" t="n"/>
      <c r="R286" s="450" t="n"/>
      <c r="S286" s="443" t="n"/>
      <c r="T286" s="443" t="n"/>
      <c r="U286" s="443" t="n"/>
      <c r="V286" s="463" t="n"/>
      <c r="W286" s="443" t="n"/>
      <c r="X286" s="443" t="n"/>
      <c r="Y286" s="450" t="n"/>
      <c r="AB286" s="443" t="n"/>
      <c r="AF286" s="450" t="n"/>
      <c r="AH286" s="450" t="n"/>
      <c r="AI286" s="443" t="n"/>
      <c r="AK286" s="443" t="n"/>
      <c r="AM286" s="450" t="n"/>
      <c r="AN286" s="450" t="n"/>
      <c r="AP286" s="398" t="n"/>
      <c r="AQ286" s="286" t="n"/>
      <c r="AR286" s="450" t="n"/>
      <c r="AT286" s="450" t="n"/>
      <c r="AV286" s="450" t="n"/>
    </row>
    <row r="287">
      <c r="O287" s="443" t="n"/>
      <c r="P287" s="443" t="n"/>
      <c r="R287" s="450" t="n"/>
      <c r="S287" s="443" t="n"/>
      <c r="T287" s="443" t="n"/>
      <c r="U287" s="443" t="n"/>
      <c r="V287" s="463" t="n"/>
      <c r="W287" s="443" t="n"/>
      <c r="X287" s="443" t="n"/>
      <c r="Y287" s="450" t="n"/>
      <c r="AB287" s="443" t="n"/>
      <c r="AF287" s="450" t="n"/>
      <c r="AH287" s="450" t="n"/>
      <c r="AI287" s="443" t="n"/>
      <c r="AK287" s="443" t="n"/>
      <c r="AM287" s="450" t="n"/>
      <c r="AN287" s="450" t="n"/>
      <c r="AP287" s="398" t="n"/>
      <c r="AQ287" s="286" t="n"/>
      <c r="AR287" s="450" t="n"/>
      <c r="AT287" s="450" t="n"/>
      <c r="AV287" s="450" t="n"/>
    </row>
    <row r="288">
      <c r="O288" s="443" t="n"/>
      <c r="P288" s="443" t="n"/>
      <c r="R288" s="450" t="n"/>
      <c r="S288" s="443" t="n"/>
      <c r="T288" s="443" t="n"/>
      <c r="U288" s="443" t="n"/>
      <c r="V288" s="463" t="n"/>
      <c r="W288" s="443" t="n"/>
      <c r="X288" s="443" t="n"/>
      <c r="Y288" s="450" t="n"/>
      <c r="AB288" s="443" t="n"/>
      <c r="AF288" s="450" t="n"/>
      <c r="AH288" s="450" t="n"/>
      <c r="AI288" s="443" t="n"/>
      <c r="AK288" s="443" t="n"/>
      <c r="AM288" s="450" t="n"/>
      <c r="AN288" s="450" t="n"/>
      <c r="AP288" s="398" t="n"/>
      <c r="AQ288" s="286" t="n"/>
      <c r="AR288" s="450" t="n"/>
      <c r="AT288" s="450" t="n"/>
      <c r="AV288" s="450" t="n"/>
    </row>
    <row r="289">
      <c r="O289" s="443" t="n"/>
      <c r="P289" s="443" t="n"/>
      <c r="R289" s="450" t="n"/>
      <c r="S289" s="443" t="n"/>
      <c r="T289" s="443" t="n"/>
      <c r="U289" s="443" t="n"/>
      <c r="V289" s="463" t="n"/>
      <c r="W289" s="443" t="n"/>
      <c r="X289" s="443" t="n"/>
      <c r="Y289" s="450" t="n"/>
      <c r="AB289" s="443" t="n"/>
      <c r="AF289" s="450" t="n"/>
      <c r="AH289" s="450" t="n"/>
      <c r="AI289" s="443" t="n"/>
      <c r="AK289" s="443" t="n"/>
      <c r="AM289" s="450" t="n"/>
      <c r="AN289" s="450" t="n"/>
      <c r="AP289" s="398" t="n"/>
      <c r="AQ289" s="286" t="n"/>
      <c r="AR289" s="450" t="n"/>
      <c r="AT289" s="450" t="n"/>
      <c r="AV289" s="450" t="n"/>
    </row>
    <row r="290">
      <c r="O290" s="443" t="n"/>
      <c r="P290" s="443" t="n"/>
      <c r="R290" s="450" t="n"/>
      <c r="S290" s="443" t="n"/>
      <c r="T290" s="443" t="n"/>
      <c r="U290" s="443" t="n"/>
      <c r="V290" s="463" t="n"/>
      <c r="W290" s="443" t="n"/>
      <c r="X290" s="443" t="n"/>
      <c r="Y290" s="450" t="n"/>
      <c r="AB290" s="443" t="n"/>
      <c r="AF290" s="450" t="n"/>
      <c r="AH290" s="450" t="n"/>
      <c r="AI290" s="443" t="n"/>
      <c r="AK290" s="443" t="n"/>
      <c r="AM290" s="450" t="n"/>
      <c r="AN290" s="450" t="n"/>
      <c r="AP290" s="398" t="n"/>
      <c r="AQ290" s="286" t="n"/>
      <c r="AR290" s="450" t="n"/>
      <c r="AT290" s="450" t="n"/>
      <c r="AV290" s="450" t="n"/>
    </row>
    <row r="291">
      <c r="O291" s="443" t="n"/>
      <c r="P291" s="443" t="n"/>
      <c r="R291" s="450" t="n"/>
      <c r="S291" s="443" t="n"/>
      <c r="T291" s="443" t="n"/>
      <c r="U291" s="443" t="n"/>
      <c r="V291" s="463" t="n"/>
      <c r="W291" s="443" t="n"/>
      <c r="X291" s="443" t="n"/>
      <c r="Y291" s="450" t="n"/>
      <c r="AB291" s="443" t="n"/>
      <c r="AF291" s="450" t="n"/>
      <c r="AH291" s="450" t="n"/>
      <c r="AI291" s="443" t="n"/>
      <c r="AK291" s="443" t="n"/>
      <c r="AM291" s="450" t="n"/>
      <c r="AN291" s="450" t="n"/>
      <c r="AP291" s="398" t="n"/>
      <c r="AQ291" s="286" t="n"/>
      <c r="AR291" s="450" t="n"/>
      <c r="AT291" s="450" t="n"/>
      <c r="AV291" s="450" t="n"/>
    </row>
    <row r="292">
      <c r="O292" s="443" t="n"/>
      <c r="P292" s="443" t="n"/>
      <c r="R292" s="450" t="n"/>
      <c r="S292" s="443" t="n"/>
      <c r="T292" s="443" t="n"/>
      <c r="U292" s="443" t="n"/>
      <c r="V292" s="463" t="n"/>
      <c r="W292" s="443" t="n"/>
      <c r="X292" s="443" t="n"/>
      <c r="Y292" s="450" t="n"/>
      <c r="AB292" s="443" t="n"/>
      <c r="AF292" s="450" t="n"/>
      <c r="AH292" s="450" t="n"/>
      <c r="AI292" s="443" t="n"/>
      <c r="AK292" s="443" t="n"/>
      <c r="AM292" s="450" t="n"/>
      <c r="AN292" s="450" t="n"/>
      <c r="AP292" s="398" t="n"/>
      <c r="AQ292" s="286" t="n"/>
      <c r="AR292" s="450" t="n"/>
      <c r="AT292" s="450" t="n"/>
      <c r="AV292" s="450" t="n"/>
    </row>
    <row r="293">
      <c r="O293" s="443" t="n"/>
      <c r="P293" s="443" t="n"/>
      <c r="R293" s="450" t="n"/>
      <c r="S293" s="443" t="n"/>
      <c r="T293" s="443" t="n"/>
      <c r="U293" s="443" t="n"/>
      <c r="V293" s="463" t="n"/>
      <c r="W293" s="443" t="n"/>
      <c r="X293" s="443" t="n"/>
      <c r="Y293" s="450" t="n"/>
      <c r="AB293" s="443" t="n"/>
      <c r="AF293" s="450" t="n"/>
      <c r="AH293" s="450" t="n"/>
      <c r="AI293" s="443" t="n"/>
      <c r="AK293" s="443" t="n"/>
      <c r="AM293" s="450" t="n"/>
      <c r="AN293" s="450" t="n"/>
      <c r="AP293" s="398" t="n"/>
      <c r="AQ293" s="286" t="n"/>
      <c r="AR293" s="450" t="n"/>
      <c r="AT293" s="450" t="n"/>
      <c r="AV293" s="450" t="n"/>
    </row>
    <row r="294">
      <c r="O294" s="443" t="n"/>
      <c r="P294" s="443" t="n"/>
      <c r="R294" s="450" t="n"/>
      <c r="S294" s="443" t="n"/>
      <c r="T294" s="443" t="n"/>
      <c r="U294" s="443" t="n"/>
      <c r="V294" s="463" t="n"/>
      <c r="W294" s="443" t="n"/>
      <c r="X294" s="443" t="n"/>
      <c r="Y294" s="450" t="n"/>
      <c r="AB294" s="443" t="n"/>
      <c r="AF294" s="450" t="n"/>
      <c r="AH294" s="450" t="n"/>
      <c r="AI294" s="443" t="n"/>
      <c r="AK294" s="443" t="n"/>
      <c r="AM294" s="450" t="n"/>
      <c r="AN294" s="450" t="n"/>
      <c r="AP294" s="398" t="n"/>
      <c r="AQ294" s="286" t="n"/>
      <c r="AR294" s="450" t="n"/>
      <c r="AT294" s="450" t="n"/>
      <c r="AV294" s="450" t="n"/>
    </row>
    <row r="295">
      <c r="O295" s="443" t="n"/>
      <c r="P295" s="443" t="n"/>
      <c r="R295" s="450" t="n"/>
      <c r="S295" s="443" t="n"/>
      <c r="T295" s="443" t="n"/>
      <c r="U295" s="443" t="n"/>
      <c r="V295" s="463" t="n"/>
      <c r="W295" s="443" t="n"/>
      <c r="X295" s="443" t="n"/>
      <c r="Y295" s="450" t="n"/>
      <c r="AB295" s="443" t="n"/>
      <c r="AF295" s="450" t="n"/>
      <c r="AH295" s="450" t="n"/>
      <c r="AI295" s="443" t="n"/>
      <c r="AK295" s="443" t="n"/>
      <c r="AM295" s="450" t="n"/>
      <c r="AN295" s="450" t="n"/>
      <c r="AP295" s="398" t="n"/>
      <c r="AQ295" s="286" t="n"/>
      <c r="AR295" s="450" t="n"/>
      <c r="AT295" s="450" t="n"/>
      <c r="AV295" s="450" t="n"/>
    </row>
    <row r="296">
      <c r="O296" s="443" t="n"/>
      <c r="P296" s="443" t="n"/>
      <c r="R296" s="450" t="n"/>
      <c r="S296" s="443" t="n"/>
      <c r="T296" s="443" t="n"/>
      <c r="U296" s="443" t="n"/>
      <c r="V296" s="463" t="n"/>
      <c r="W296" s="443" t="n"/>
      <c r="X296" s="443" t="n"/>
      <c r="Y296" s="450" t="n"/>
      <c r="AB296" s="443" t="n"/>
      <c r="AF296" s="450" t="n"/>
      <c r="AH296" s="450" t="n"/>
      <c r="AI296" s="443" t="n"/>
      <c r="AK296" s="443" t="n"/>
      <c r="AM296" s="450" t="n"/>
      <c r="AN296" s="450" t="n"/>
      <c r="AP296" s="398" t="n"/>
      <c r="AQ296" s="286" t="n"/>
      <c r="AR296" s="450" t="n"/>
      <c r="AT296" s="450" t="n"/>
      <c r="AV296" s="450" t="n"/>
    </row>
    <row r="297">
      <c r="O297" s="443" t="n"/>
      <c r="P297" s="443" t="n"/>
      <c r="R297" s="450" t="n"/>
      <c r="S297" s="443" t="n"/>
      <c r="T297" s="443" t="n"/>
      <c r="U297" s="443" t="n"/>
      <c r="V297" s="463" t="n"/>
      <c r="W297" s="443" t="n"/>
      <c r="X297" s="443" t="n"/>
      <c r="Y297" s="450" t="n"/>
      <c r="AB297" s="443" t="n"/>
      <c r="AF297" s="450" t="n"/>
      <c r="AH297" s="450" t="n"/>
      <c r="AI297" s="443" t="n"/>
      <c r="AK297" s="443" t="n"/>
      <c r="AM297" s="450" t="n"/>
      <c r="AN297" s="450" t="n"/>
      <c r="AP297" s="398" t="n"/>
      <c r="AQ297" s="286" t="n"/>
      <c r="AR297" s="450" t="n"/>
      <c r="AT297" s="450" t="n"/>
      <c r="AV297" s="450" t="n"/>
    </row>
    <row r="298">
      <c r="O298" s="443" t="n"/>
      <c r="P298" s="443" t="n"/>
      <c r="R298" s="450" t="n"/>
      <c r="S298" s="443" t="n"/>
      <c r="T298" s="443" t="n"/>
      <c r="U298" s="443" t="n"/>
      <c r="V298" s="463" t="n"/>
      <c r="W298" s="443" t="n"/>
      <c r="X298" s="443" t="n"/>
      <c r="Y298" s="450" t="n"/>
      <c r="AB298" s="443" t="n"/>
      <c r="AF298" s="450" t="n"/>
      <c r="AH298" s="450" t="n"/>
      <c r="AI298" s="443" t="n"/>
      <c r="AK298" s="443" t="n"/>
      <c r="AM298" s="450" t="n"/>
      <c r="AN298" s="450" t="n"/>
      <c r="AP298" s="398" t="n"/>
      <c r="AQ298" s="286" t="n"/>
      <c r="AR298" s="450" t="n"/>
      <c r="AT298" s="450" t="n"/>
      <c r="AV298" s="450" t="n"/>
    </row>
    <row r="299">
      <c r="O299" s="443" t="n"/>
      <c r="P299" s="443" t="n"/>
      <c r="R299" s="450" t="n"/>
      <c r="S299" s="443" t="n"/>
      <c r="T299" s="443" t="n"/>
      <c r="U299" s="443" t="n"/>
      <c r="V299" s="463" t="n"/>
      <c r="W299" s="443" t="n"/>
      <c r="X299" s="443" t="n"/>
      <c r="Y299" s="450" t="n"/>
      <c r="AB299" s="443" t="n"/>
      <c r="AF299" s="450" t="n"/>
      <c r="AH299" s="450" t="n"/>
      <c r="AI299" s="443" t="n"/>
      <c r="AK299" s="443" t="n"/>
      <c r="AM299" s="450" t="n"/>
      <c r="AN299" s="450" t="n"/>
      <c r="AP299" s="398" t="n"/>
      <c r="AQ299" s="286" t="n"/>
      <c r="AR299" s="450" t="n"/>
      <c r="AT299" s="450" t="n"/>
      <c r="AV299" s="450" t="n"/>
    </row>
    <row r="300">
      <c r="O300" s="443" t="n"/>
      <c r="P300" s="443" t="n"/>
      <c r="R300" s="450" t="n"/>
      <c r="S300" s="443" t="n"/>
      <c r="T300" s="443" t="n"/>
      <c r="U300" s="443" t="n"/>
      <c r="V300" s="463" t="n"/>
      <c r="W300" s="443" t="n"/>
      <c r="X300" s="443" t="n"/>
      <c r="Y300" s="450" t="n"/>
      <c r="AB300" s="443" t="n"/>
      <c r="AF300" s="450" t="n"/>
      <c r="AH300" s="450" t="n"/>
      <c r="AI300" s="443" t="n"/>
      <c r="AK300" s="443" t="n"/>
      <c r="AM300" s="450" t="n"/>
      <c r="AN300" s="450" t="n"/>
      <c r="AP300" s="398" t="n"/>
      <c r="AQ300" s="286" t="n"/>
      <c r="AR300" s="450" t="n"/>
      <c r="AT300" s="450" t="n"/>
      <c r="AV300" s="450" t="n"/>
    </row>
    <row r="301">
      <c r="O301" s="443" t="n"/>
      <c r="P301" s="443" t="n"/>
      <c r="R301" s="450" t="n"/>
      <c r="S301" s="443" t="n"/>
      <c r="T301" s="443" t="n"/>
      <c r="U301" s="443" t="n"/>
      <c r="V301" s="463" t="n"/>
      <c r="W301" s="443" t="n"/>
      <c r="X301" s="443" t="n"/>
      <c r="Y301" s="450" t="n"/>
      <c r="AB301" s="443" t="n"/>
      <c r="AF301" s="450" t="n"/>
      <c r="AH301" s="450" t="n"/>
      <c r="AI301" s="443" t="n"/>
      <c r="AK301" s="443" t="n"/>
      <c r="AM301" s="450" t="n"/>
      <c r="AN301" s="450" t="n"/>
      <c r="AP301" s="398" t="n"/>
      <c r="AQ301" s="286" t="n"/>
      <c r="AR301" s="450" t="n"/>
      <c r="AT301" s="450" t="n"/>
      <c r="AV301" s="450" t="n"/>
    </row>
    <row r="302">
      <c r="O302" s="443" t="n"/>
      <c r="P302" s="443" t="n"/>
      <c r="R302" s="450" t="n"/>
      <c r="S302" s="443" t="n"/>
      <c r="T302" s="443" t="n"/>
      <c r="U302" s="443" t="n"/>
      <c r="V302" s="463" t="n"/>
      <c r="W302" s="443" t="n"/>
      <c r="X302" s="443" t="n"/>
      <c r="Y302" s="450" t="n"/>
      <c r="AB302" s="443" t="n"/>
      <c r="AF302" s="450" t="n"/>
      <c r="AH302" s="450" t="n"/>
      <c r="AI302" s="443" t="n"/>
      <c r="AK302" s="443" t="n"/>
      <c r="AM302" s="450" t="n"/>
      <c r="AN302" s="450" t="n"/>
      <c r="AP302" s="398" t="n"/>
      <c r="AQ302" s="286" t="n"/>
      <c r="AR302" s="450" t="n"/>
      <c r="AT302" s="450" t="n"/>
      <c r="AV302" s="450" t="n"/>
    </row>
    <row r="303">
      <c r="O303" s="443" t="n"/>
      <c r="P303" s="443" t="n"/>
      <c r="R303" s="450" t="n"/>
      <c r="S303" s="443" t="n"/>
      <c r="T303" s="443" t="n"/>
      <c r="U303" s="443" t="n"/>
      <c r="V303" s="463" t="n"/>
      <c r="W303" s="443" t="n"/>
      <c r="X303" s="443" t="n"/>
      <c r="Y303" s="450" t="n"/>
      <c r="AB303" s="443" t="n"/>
      <c r="AF303" s="450" t="n"/>
      <c r="AH303" s="450" t="n"/>
      <c r="AI303" s="443" t="n"/>
      <c r="AK303" s="443" t="n"/>
      <c r="AM303" s="450" t="n"/>
      <c r="AN303" s="450" t="n"/>
      <c r="AP303" s="398" t="n"/>
      <c r="AQ303" s="286" t="n"/>
      <c r="AR303" s="450" t="n"/>
      <c r="AT303" s="450" t="n"/>
      <c r="AV303" s="450" t="n"/>
    </row>
    <row r="304">
      <c r="O304" s="443" t="n"/>
      <c r="P304" s="443" t="n"/>
      <c r="R304" s="450" t="n"/>
      <c r="S304" s="443" t="n"/>
      <c r="T304" s="443" t="n"/>
      <c r="U304" s="443" t="n"/>
      <c r="V304" s="463" t="n"/>
      <c r="W304" s="443" t="n"/>
      <c r="X304" s="443" t="n"/>
      <c r="Y304" s="450" t="n"/>
      <c r="AB304" s="443" t="n"/>
      <c r="AF304" s="450" t="n"/>
      <c r="AH304" s="450" t="n"/>
      <c r="AI304" s="443" t="n"/>
      <c r="AK304" s="443" t="n"/>
      <c r="AM304" s="450" t="n"/>
      <c r="AN304" s="450" t="n"/>
      <c r="AP304" s="398" t="n"/>
      <c r="AQ304" s="286" t="n"/>
      <c r="AR304" s="450" t="n"/>
      <c r="AT304" s="450" t="n"/>
      <c r="AV304" s="450" t="n"/>
    </row>
    <row r="305">
      <c r="O305" s="443" t="n"/>
      <c r="P305" s="443" t="n"/>
      <c r="R305" s="450" t="n"/>
      <c r="S305" s="443" t="n"/>
      <c r="T305" s="443" t="n"/>
      <c r="U305" s="443" t="n"/>
      <c r="V305" s="463" t="n"/>
      <c r="W305" s="443" t="n"/>
      <c r="X305" s="443" t="n"/>
      <c r="Y305" s="450" t="n"/>
      <c r="AB305" s="443" t="n"/>
      <c r="AF305" s="450" t="n"/>
      <c r="AH305" s="450" t="n"/>
      <c r="AI305" s="443" t="n"/>
      <c r="AK305" s="443" t="n"/>
      <c r="AM305" s="450" t="n"/>
      <c r="AN305" s="450" t="n"/>
      <c r="AP305" s="398" t="n"/>
      <c r="AQ305" s="286" t="n"/>
      <c r="AR305" s="450" t="n"/>
      <c r="AT305" s="450" t="n"/>
      <c r="AV305" s="450" t="n"/>
    </row>
    <row r="306">
      <c r="O306" s="443" t="n"/>
      <c r="P306" s="443" t="n"/>
      <c r="R306" s="450" t="n"/>
      <c r="S306" s="443" t="n"/>
      <c r="T306" s="443" t="n"/>
      <c r="U306" s="443" t="n"/>
      <c r="V306" s="463" t="n"/>
      <c r="W306" s="443" t="n"/>
      <c r="X306" s="443" t="n"/>
      <c r="Y306" s="450" t="n"/>
      <c r="AB306" s="443" t="n"/>
      <c r="AF306" s="450" t="n"/>
      <c r="AH306" s="450" t="n"/>
      <c r="AI306" s="443" t="n"/>
      <c r="AK306" s="443" t="n"/>
      <c r="AM306" s="450" t="n"/>
      <c r="AN306" s="450" t="n"/>
      <c r="AP306" s="398" t="n"/>
      <c r="AQ306" s="286" t="n"/>
      <c r="AR306" s="450" t="n"/>
      <c r="AT306" s="450" t="n"/>
      <c r="AV306" s="450" t="n"/>
    </row>
    <row r="307">
      <c r="O307" s="443" t="n"/>
      <c r="P307" s="443" t="n"/>
      <c r="R307" s="450" t="n"/>
      <c r="S307" s="443" t="n"/>
      <c r="T307" s="443" t="n"/>
      <c r="U307" s="443" t="n"/>
      <c r="V307" s="463" t="n"/>
      <c r="W307" s="443" t="n"/>
      <c r="X307" s="443" t="n"/>
      <c r="Y307" s="450" t="n"/>
      <c r="AB307" s="443" t="n"/>
      <c r="AF307" s="450" t="n"/>
      <c r="AH307" s="450" t="n"/>
      <c r="AI307" s="443" t="n"/>
      <c r="AK307" s="443" t="n"/>
      <c r="AM307" s="450" t="n"/>
      <c r="AN307" s="450" t="n"/>
      <c r="AP307" s="398" t="n"/>
      <c r="AQ307" s="286" t="n"/>
      <c r="AR307" s="450" t="n"/>
      <c r="AT307" s="450" t="n"/>
      <c r="AV307" s="450" t="n"/>
    </row>
    <row r="308">
      <c r="O308" s="443" t="n"/>
      <c r="P308" s="443" t="n"/>
      <c r="R308" s="450" t="n"/>
      <c r="S308" s="443" t="n"/>
      <c r="T308" s="443" t="n"/>
      <c r="U308" s="443" t="n"/>
      <c r="V308" s="463" t="n"/>
      <c r="W308" s="443" t="n"/>
      <c r="X308" s="443" t="n"/>
      <c r="Y308" s="450" t="n"/>
      <c r="AB308" s="443" t="n"/>
      <c r="AF308" s="450" t="n"/>
      <c r="AH308" s="450" t="n"/>
      <c r="AI308" s="443" t="n"/>
      <c r="AK308" s="443" t="n"/>
      <c r="AM308" s="450" t="n"/>
      <c r="AN308" s="450" t="n"/>
      <c r="AP308" s="398" t="n"/>
      <c r="AQ308" s="286" t="n"/>
      <c r="AR308" s="450" t="n"/>
      <c r="AT308" s="450" t="n"/>
      <c r="AV308" s="450" t="n"/>
    </row>
    <row r="309">
      <c r="O309" s="443" t="n"/>
      <c r="P309" s="443" t="n"/>
      <c r="R309" s="450" t="n"/>
      <c r="S309" s="443" t="n"/>
      <c r="T309" s="443" t="n"/>
      <c r="U309" s="443" t="n"/>
      <c r="V309" s="463" t="n"/>
      <c r="W309" s="443" t="n"/>
      <c r="X309" s="443" t="n"/>
      <c r="Y309" s="450" t="n"/>
      <c r="AB309" s="443" t="n"/>
      <c r="AF309" s="450" t="n"/>
      <c r="AH309" s="450" t="n"/>
      <c r="AI309" s="443" t="n"/>
      <c r="AK309" s="443" t="n"/>
      <c r="AM309" s="450" t="n"/>
      <c r="AN309" s="450" t="n"/>
      <c r="AP309" s="398" t="n"/>
      <c r="AQ309" s="286" t="n"/>
      <c r="AR309" s="450" t="n"/>
      <c r="AT309" s="450" t="n"/>
      <c r="AV309" s="450" t="n"/>
    </row>
    <row r="310">
      <c r="O310" s="443" t="n"/>
      <c r="P310" s="443" t="n"/>
      <c r="R310" s="450" t="n"/>
      <c r="S310" s="443" t="n"/>
      <c r="T310" s="443" t="n"/>
      <c r="U310" s="443" t="n"/>
      <c r="V310" s="463" t="n"/>
      <c r="W310" s="443" t="n"/>
      <c r="X310" s="443" t="n"/>
      <c r="Y310" s="450" t="n"/>
      <c r="AB310" s="443" t="n"/>
      <c r="AF310" s="450" t="n"/>
      <c r="AH310" s="450" t="n"/>
      <c r="AI310" s="443" t="n"/>
      <c r="AK310" s="443" t="n"/>
      <c r="AM310" s="450" t="n"/>
      <c r="AN310" s="450" t="n"/>
      <c r="AP310" s="398" t="n"/>
      <c r="AQ310" s="286" t="n"/>
      <c r="AR310" s="450" t="n"/>
      <c r="AT310" s="450" t="n"/>
      <c r="AV310" s="450" t="n"/>
    </row>
    <row r="311">
      <c r="O311" s="443" t="n"/>
      <c r="P311" s="443" t="n"/>
      <c r="R311" s="450" t="n"/>
      <c r="S311" s="443" t="n"/>
      <c r="T311" s="443" t="n"/>
      <c r="U311" s="443" t="n"/>
      <c r="V311" s="463" t="n"/>
      <c r="W311" s="443" t="n"/>
      <c r="X311" s="443" t="n"/>
      <c r="Y311" s="450" t="n"/>
      <c r="AB311" s="443" t="n"/>
      <c r="AF311" s="450" t="n"/>
      <c r="AH311" s="450" t="n"/>
      <c r="AI311" s="443" t="n"/>
      <c r="AK311" s="443" t="n"/>
      <c r="AM311" s="450" t="n"/>
      <c r="AN311" s="450" t="n"/>
      <c r="AP311" s="398" t="n"/>
      <c r="AQ311" s="286" t="n"/>
      <c r="AR311" s="450" t="n"/>
      <c r="AT311" s="450" t="n"/>
      <c r="AV311" s="450" t="n"/>
    </row>
    <row r="312">
      <c r="O312" s="443" t="n"/>
      <c r="P312" s="443" t="n"/>
      <c r="R312" s="450" t="n"/>
      <c r="S312" s="443" t="n"/>
      <c r="T312" s="443" t="n"/>
      <c r="U312" s="443" t="n"/>
      <c r="V312" s="463" t="n"/>
      <c r="W312" s="443" t="n"/>
      <c r="X312" s="443" t="n"/>
      <c r="Y312" s="450" t="n"/>
      <c r="AB312" s="443" t="n"/>
      <c r="AF312" s="450" t="n"/>
      <c r="AH312" s="450" t="n"/>
      <c r="AI312" s="443" t="n"/>
      <c r="AK312" s="443" t="n"/>
      <c r="AM312" s="450" t="n"/>
      <c r="AN312" s="450" t="n"/>
      <c r="AP312" s="398" t="n"/>
      <c r="AQ312" s="286" t="n"/>
      <c r="AR312" s="450" t="n"/>
      <c r="AT312" s="450" t="n"/>
      <c r="AV312" s="450" t="n"/>
    </row>
    <row r="313">
      <c r="O313" s="443" t="n"/>
      <c r="P313" s="443" t="n"/>
      <c r="R313" s="450" t="n"/>
      <c r="S313" s="443" t="n"/>
      <c r="T313" s="443" t="n"/>
      <c r="U313" s="443" t="n"/>
      <c r="V313" s="463" t="n"/>
      <c r="W313" s="443" t="n"/>
      <c r="X313" s="443" t="n"/>
      <c r="Y313" s="450" t="n"/>
      <c r="AB313" s="443" t="n"/>
      <c r="AF313" s="450" t="n"/>
      <c r="AH313" s="450" t="n"/>
      <c r="AI313" s="443" t="n"/>
      <c r="AK313" s="443" t="n"/>
      <c r="AM313" s="450" t="n"/>
      <c r="AN313" s="450" t="n"/>
      <c r="AP313" s="398" t="n"/>
      <c r="AQ313" s="286" t="n"/>
      <c r="AR313" s="450" t="n"/>
      <c r="AT313" s="450" t="n"/>
      <c r="AV313" s="450" t="n"/>
    </row>
    <row r="314">
      <c r="O314" s="443" t="n"/>
      <c r="P314" s="443" t="n"/>
      <c r="R314" s="450" t="n"/>
      <c r="S314" s="443" t="n"/>
      <c r="T314" s="443" t="n"/>
      <c r="U314" s="443" t="n"/>
      <c r="V314" s="463" t="n"/>
      <c r="W314" s="443" t="n"/>
      <c r="X314" s="443" t="n"/>
      <c r="Y314" s="450" t="n"/>
      <c r="AB314" s="443" t="n"/>
      <c r="AF314" s="450" t="n"/>
      <c r="AH314" s="450" t="n"/>
      <c r="AI314" s="443" t="n"/>
      <c r="AK314" s="443" t="n"/>
      <c r="AM314" s="450" t="n"/>
      <c r="AN314" s="450" t="n"/>
      <c r="AP314" s="398" t="n"/>
      <c r="AQ314" s="286" t="n"/>
      <c r="AR314" s="450" t="n"/>
      <c r="AT314" s="450" t="n"/>
      <c r="AV314" s="450" t="n"/>
    </row>
    <row r="315">
      <c r="O315" s="443" t="n"/>
      <c r="P315" s="443" t="n"/>
      <c r="R315" s="450" t="n"/>
      <c r="S315" s="443" t="n"/>
      <c r="T315" s="443" t="n"/>
      <c r="U315" s="443" t="n"/>
      <c r="V315" s="463" t="n"/>
      <c r="W315" s="443" t="n"/>
      <c r="X315" s="443" t="n"/>
      <c r="Y315" s="450" t="n"/>
      <c r="AB315" s="443" t="n"/>
      <c r="AF315" s="450" t="n"/>
      <c r="AH315" s="450" t="n"/>
      <c r="AI315" s="443" t="n"/>
      <c r="AK315" s="443" t="n"/>
      <c r="AM315" s="450" t="n"/>
      <c r="AN315" s="450" t="n"/>
      <c r="AP315" s="398" t="n"/>
      <c r="AQ315" s="286" t="n"/>
      <c r="AR315" s="450" t="n"/>
      <c r="AT315" s="450" t="n"/>
      <c r="AV315" s="450" t="n"/>
    </row>
    <row r="316">
      <c r="O316" s="443" t="n"/>
      <c r="P316" s="443" t="n"/>
      <c r="R316" s="450" t="n"/>
      <c r="S316" s="443" t="n"/>
      <c r="T316" s="443" t="n"/>
      <c r="U316" s="443" t="n"/>
      <c r="V316" s="463" t="n"/>
      <c r="W316" s="443" t="n"/>
      <c r="X316" s="443" t="n"/>
      <c r="Y316" s="450" t="n"/>
      <c r="AB316" s="443" t="n"/>
      <c r="AF316" s="450" t="n"/>
      <c r="AH316" s="450" t="n"/>
      <c r="AI316" s="443" t="n"/>
      <c r="AK316" s="443" t="n"/>
      <c r="AM316" s="450" t="n"/>
      <c r="AN316" s="450" t="n"/>
      <c r="AP316" s="398" t="n"/>
      <c r="AQ316" s="286" t="n"/>
      <c r="AR316" s="450" t="n"/>
      <c r="AT316" s="450" t="n"/>
      <c r="AV316" s="450" t="n"/>
    </row>
    <row r="317">
      <c r="O317" s="443" t="n"/>
      <c r="P317" s="443" t="n"/>
      <c r="R317" s="450" t="n"/>
      <c r="S317" s="443" t="n"/>
      <c r="T317" s="443" t="n"/>
      <c r="U317" s="443" t="n"/>
      <c r="V317" s="463" t="n"/>
      <c r="W317" s="443" t="n"/>
      <c r="X317" s="443" t="n"/>
      <c r="Y317" s="450" t="n"/>
      <c r="AB317" s="443" t="n"/>
      <c r="AF317" s="450" t="n"/>
      <c r="AH317" s="450" t="n"/>
      <c r="AI317" s="443" t="n"/>
      <c r="AK317" s="443" t="n"/>
      <c r="AM317" s="450" t="n"/>
      <c r="AN317" s="450" t="n"/>
      <c r="AP317" s="398" t="n"/>
      <c r="AQ317" s="286" t="n"/>
      <c r="AR317" s="450" t="n"/>
      <c r="AT317" s="450" t="n"/>
      <c r="AV317" s="450" t="n"/>
    </row>
    <row r="318">
      <c r="O318" s="443" t="n"/>
      <c r="P318" s="443" t="n"/>
      <c r="R318" s="450" t="n"/>
      <c r="S318" s="443" t="n"/>
      <c r="T318" s="443" t="n"/>
      <c r="U318" s="443" t="n"/>
      <c r="V318" s="463" t="n"/>
      <c r="W318" s="443" t="n"/>
      <c r="X318" s="443" t="n"/>
      <c r="Y318" s="450" t="n"/>
      <c r="AB318" s="443" t="n"/>
      <c r="AF318" s="450" t="n"/>
      <c r="AH318" s="450" t="n"/>
      <c r="AI318" s="443" t="n"/>
      <c r="AK318" s="443" t="n"/>
      <c r="AM318" s="450" t="n"/>
      <c r="AN318" s="450" t="n"/>
      <c r="AP318" s="398" t="n"/>
      <c r="AQ318" s="286" t="n"/>
      <c r="AR318" s="450" t="n"/>
      <c r="AT318" s="450" t="n"/>
      <c r="AV318" s="450" t="n"/>
    </row>
    <row r="319">
      <c r="O319" s="443" t="n"/>
      <c r="P319" s="443" t="n"/>
      <c r="R319" s="450" t="n"/>
      <c r="S319" s="443" t="n"/>
      <c r="T319" s="443" t="n"/>
      <c r="U319" s="443" t="n"/>
      <c r="V319" s="463" t="n"/>
      <c r="W319" s="443" t="n"/>
      <c r="X319" s="443" t="n"/>
      <c r="Y319" s="450" t="n"/>
      <c r="AB319" s="443" t="n"/>
      <c r="AF319" s="450" t="n"/>
      <c r="AH319" s="450" t="n"/>
      <c r="AI319" s="443" t="n"/>
      <c r="AK319" s="443" t="n"/>
      <c r="AM319" s="450" t="n"/>
      <c r="AN319" s="450" t="n"/>
      <c r="AP319" s="398" t="n"/>
      <c r="AQ319" s="286" t="n"/>
      <c r="AR319" s="450" t="n"/>
      <c r="AT319" s="450" t="n"/>
      <c r="AV319" s="450" t="n"/>
    </row>
    <row r="320">
      <c r="O320" s="443" t="n"/>
      <c r="P320" s="443" t="n"/>
      <c r="R320" s="450" t="n"/>
      <c r="S320" s="443" t="n"/>
      <c r="T320" s="443" t="n"/>
      <c r="U320" s="443" t="n"/>
      <c r="V320" s="463" t="n"/>
      <c r="W320" s="443" t="n"/>
      <c r="X320" s="443" t="n"/>
      <c r="Y320" s="450" t="n"/>
      <c r="AB320" s="443" t="n"/>
      <c r="AF320" s="450" t="n"/>
      <c r="AH320" s="450" t="n"/>
      <c r="AI320" s="443" t="n"/>
      <c r="AK320" s="443" t="n"/>
      <c r="AM320" s="450" t="n"/>
      <c r="AN320" s="450" t="n"/>
      <c r="AP320" s="398" t="n"/>
      <c r="AQ320" s="286" t="n"/>
      <c r="AR320" s="450" t="n"/>
      <c r="AT320" s="450" t="n"/>
      <c r="AV320" s="450" t="n"/>
    </row>
    <row r="321">
      <c r="O321" s="443" t="n"/>
      <c r="P321" s="443" t="n"/>
      <c r="R321" s="450" t="n"/>
      <c r="S321" s="443" t="n"/>
      <c r="T321" s="443" t="n"/>
      <c r="U321" s="443" t="n"/>
      <c r="V321" s="463" t="n"/>
      <c r="W321" s="443" t="n"/>
      <c r="X321" s="443" t="n"/>
      <c r="Y321" s="450" t="n"/>
      <c r="AB321" s="443" t="n"/>
      <c r="AF321" s="450" t="n"/>
      <c r="AH321" s="450" t="n"/>
      <c r="AI321" s="443" t="n"/>
      <c r="AK321" s="443" t="n"/>
      <c r="AM321" s="450" t="n"/>
      <c r="AN321" s="450" t="n"/>
      <c r="AP321" s="398" t="n"/>
      <c r="AQ321" s="286" t="n"/>
      <c r="AR321" s="450" t="n"/>
      <c r="AT321" s="450" t="n"/>
      <c r="AV321" s="450" t="n"/>
    </row>
    <row r="322">
      <c r="O322" s="443" t="n"/>
      <c r="P322" s="443" t="n"/>
      <c r="R322" s="450" t="n"/>
      <c r="S322" s="443" t="n"/>
      <c r="T322" s="443" t="n"/>
      <c r="U322" s="443" t="n"/>
      <c r="V322" s="463" t="n"/>
      <c r="W322" s="443" t="n"/>
      <c r="X322" s="443" t="n"/>
      <c r="Y322" s="450" t="n"/>
      <c r="AB322" s="443" t="n"/>
      <c r="AF322" s="450" t="n"/>
      <c r="AH322" s="450" t="n"/>
      <c r="AI322" s="443" t="n"/>
      <c r="AK322" s="443" t="n"/>
      <c r="AM322" s="450" t="n"/>
      <c r="AN322" s="450" t="n"/>
      <c r="AP322" s="398" t="n"/>
      <c r="AQ322" s="286" t="n"/>
      <c r="AR322" s="450" t="n"/>
      <c r="AT322" s="450" t="n"/>
      <c r="AV322" s="450" t="n"/>
    </row>
    <row r="323">
      <c r="O323" s="443" t="n"/>
      <c r="P323" s="443" t="n"/>
      <c r="R323" s="450" t="n"/>
      <c r="S323" s="443" t="n"/>
      <c r="T323" s="443" t="n"/>
      <c r="U323" s="443" t="n"/>
      <c r="V323" s="463" t="n"/>
      <c r="W323" s="443" t="n"/>
      <c r="X323" s="443" t="n"/>
      <c r="Y323" s="450" t="n"/>
      <c r="AB323" s="443" t="n"/>
      <c r="AF323" s="450" t="n"/>
      <c r="AH323" s="450" t="n"/>
      <c r="AI323" s="443" t="n"/>
      <c r="AK323" s="443" t="n"/>
      <c r="AM323" s="450" t="n"/>
      <c r="AN323" s="450" t="n"/>
      <c r="AP323" s="398" t="n"/>
      <c r="AQ323" s="286" t="n"/>
      <c r="AR323" s="450" t="n"/>
      <c r="AT323" s="450" t="n"/>
      <c r="AV323" s="450" t="n"/>
    </row>
    <row r="324">
      <c r="O324" s="443" t="n"/>
      <c r="P324" s="443" t="n"/>
      <c r="R324" s="450" t="n"/>
      <c r="S324" s="443" t="n"/>
      <c r="T324" s="443" t="n"/>
      <c r="U324" s="443" t="n"/>
      <c r="V324" s="463" t="n"/>
      <c r="W324" s="443" t="n"/>
      <c r="X324" s="443" t="n"/>
      <c r="Y324" s="450" t="n"/>
      <c r="AB324" s="443" t="n"/>
      <c r="AF324" s="450" t="n"/>
      <c r="AH324" s="450" t="n"/>
      <c r="AI324" s="443" t="n"/>
      <c r="AK324" s="443" t="n"/>
      <c r="AM324" s="450" t="n"/>
      <c r="AN324" s="450" t="n"/>
      <c r="AP324" s="398" t="n"/>
      <c r="AQ324" s="286" t="n"/>
      <c r="AR324" s="450" t="n"/>
      <c r="AT324" s="450" t="n"/>
      <c r="AV324" s="450" t="n"/>
    </row>
    <row r="325">
      <c r="O325" s="443" t="n"/>
      <c r="P325" s="443" t="n"/>
      <c r="R325" s="450" t="n"/>
      <c r="S325" s="443" t="n"/>
      <c r="T325" s="443" t="n"/>
      <c r="U325" s="443" t="n"/>
      <c r="V325" s="463" t="n"/>
      <c r="W325" s="443" t="n"/>
      <c r="X325" s="443" t="n"/>
      <c r="Y325" s="450" t="n"/>
      <c r="AB325" s="443" t="n"/>
      <c r="AF325" s="450" t="n"/>
      <c r="AH325" s="450" t="n"/>
      <c r="AI325" s="443" t="n"/>
      <c r="AK325" s="443" t="n"/>
      <c r="AM325" s="450" t="n"/>
      <c r="AN325" s="450" t="n"/>
      <c r="AP325" s="398" t="n"/>
      <c r="AQ325" s="286" t="n"/>
      <c r="AR325" s="450" t="n"/>
      <c r="AT325" s="450" t="n"/>
      <c r="AV325" s="450" t="n"/>
    </row>
    <row r="326">
      <c r="O326" s="443" t="n"/>
      <c r="P326" s="443" t="n"/>
      <c r="R326" s="450" t="n"/>
      <c r="S326" s="443" t="n"/>
      <c r="T326" s="443" t="n"/>
      <c r="U326" s="443" t="n"/>
      <c r="V326" s="463" t="n"/>
      <c r="W326" s="443" t="n"/>
      <c r="X326" s="443" t="n"/>
      <c r="Y326" s="450" t="n"/>
      <c r="AB326" s="443" t="n"/>
      <c r="AF326" s="450" t="n"/>
      <c r="AH326" s="450" t="n"/>
      <c r="AI326" s="443" t="n"/>
      <c r="AK326" s="443" t="n"/>
      <c r="AM326" s="450" t="n"/>
      <c r="AN326" s="450" t="n"/>
      <c r="AP326" s="398" t="n"/>
      <c r="AQ326" s="286" t="n"/>
      <c r="AR326" s="450" t="n"/>
      <c r="AT326" s="450" t="n"/>
      <c r="AV326" s="450" t="n"/>
    </row>
    <row r="327">
      <c r="O327" s="443" t="n"/>
      <c r="P327" s="443" t="n"/>
      <c r="R327" s="450" t="n"/>
      <c r="S327" s="443" t="n"/>
      <c r="T327" s="443" t="n"/>
      <c r="U327" s="443" t="n"/>
      <c r="V327" s="463" t="n"/>
      <c r="W327" s="443" t="n"/>
      <c r="X327" s="443" t="n"/>
      <c r="Y327" s="450" t="n"/>
      <c r="AB327" s="443" t="n"/>
      <c r="AF327" s="450" t="n"/>
      <c r="AH327" s="450" t="n"/>
      <c r="AI327" s="443" t="n"/>
      <c r="AK327" s="443" t="n"/>
      <c r="AM327" s="450" t="n"/>
      <c r="AN327" s="450" t="n"/>
      <c r="AP327" s="398" t="n"/>
      <c r="AQ327" s="286" t="n"/>
      <c r="AR327" s="450" t="n"/>
      <c r="AT327" s="450" t="n"/>
      <c r="AV327" s="450" t="n"/>
    </row>
  </sheetData>
  <sheetProtection selectLockedCells="0" selectUnlockedCells="0" sheet="1" objects="1" insertRows="0" insertHyperlinks="1" autoFilter="0" scenarios="1" formatColumns="0" deleteColumns="1" insertColumns="1" pivotTables="1" deleteRows="0" formatCells="1" formatRows="0" sort="0"/>
  <dataValidations count="1">
    <dataValidation sqref="K7:K19" showDropDown="0" showInputMessage="1" showErrorMessage="0" allowBlank="1" type="list">
      <formula1>decompositie</formula1>
    </dataValidation>
  </dataValidations>
  <printOptions horizontalCentered="1" gridLinesSet="0"/>
  <pageMargins left="0.71" right="0.2362204724409449" top="0.7" bottom="0.2362204724409449" header="0.5511811023622047" footer="0.2362204724409449"/>
  <pageSetup orientation="landscape" paperSize="8" scale="78" fitToHeight="0" horizontalDpi="300" verticalDpi="300"/>
</worksheet>
</file>

<file path=xl/worksheets/sheet7.xml><?xml version="1.0" encoding="utf-8"?>
<worksheet xmlns="http://schemas.openxmlformats.org/spreadsheetml/2006/main">
  <sheetPr codeName="Sheet1">
    <outlinePr summaryBelow="0" summaryRight="0"/>
    <pageSetUpPr fitToPage="1"/>
  </sheetPr>
  <dimension ref="A1:IV468"/>
  <sheetViews>
    <sheetView showGridLines="0" topLeftCell="L12" zoomScale="90" workbookViewId="0">
      <pane xSplit="1" ySplit="6" topLeftCell="M18" activePane="bottomRight" state="frozen"/>
      <selection activeCell="AR8" sqref="AR8"/>
      <selection pane="topRight" activeCell="AR8" sqref="AR8"/>
      <selection pane="bottomLeft" activeCell="AR8" sqref="AR8"/>
      <selection pane="bottomRight" activeCell="AI25" sqref="AI25"/>
    </sheetView>
  </sheetViews>
  <sheetFormatPr baseColWidth="8" defaultRowHeight="12.75"/>
  <cols>
    <col width="3.85546875" customWidth="1" style="353" min="1" max="1"/>
    <col width="2.5703125" customWidth="1" style="353" min="2" max="2"/>
    <col outlineLevel="1" width="2.5703125" customWidth="1" style="353" min="3" max="3"/>
    <col outlineLevel="1" width="2.85546875" customWidth="1" style="353" min="4" max="4"/>
    <col outlineLevel="1" width="2.5703125" customWidth="1" style="353" min="5" max="11"/>
    <col width="30.140625" customWidth="1" style="353" min="12" max="12"/>
    <col width="4.5703125" customWidth="1" style="353" min="13" max="14"/>
    <col width="3.7109375" customWidth="1" style="353" min="15" max="15"/>
    <col hidden="1" width="3.7109375" customWidth="1" style="353" min="16" max="17"/>
    <col hidden="1" width="4.5703125" customWidth="1" style="353" min="18" max="18"/>
    <col hidden="1" width="3.7109375" customWidth="1" style="353" min="19" max="21"/>
    <col hidden="1" width="1.7109375" customWidth="1" style="353" min="22" max="22"/>
    <col hidden="1" width="2.7109375" customWidth="1" style="353" min="23" max="24"/>
    <col hidden="1" width="1.7109375" customWidth="1" style="353" min="25" max="25"/>
    <col hidden="1" width="2.7109375" customWidth="1" style="353" min="26" max="28"/>
    <col hidden="1" width="1.7109375" customWidth="1" style="353" min="29" max="29"/>
    <col width="24.28515625" customWidth="1" style="353" min="30" max="30"/>
    <col hidden="1" width="1.7109375" customWidth="1" style="353" min="31" max="31"/>
    <col hidden="1" width="13" customWidth="1" style="353" min="32" max="32"/>
    <col hidden="1" width="2.7109375" customWidth="1" style="353" min="33" max="33"/>
    <col width="1.7109375" customWidth="1" style="353" min="34" max="34"/>
    <col width="6.140625" customWidth="1" style="353" min="35" max="35"/>
    <col width="2.7109375" customWidth="1" style="353" min="36" max="39"/>
    <col width="3.7109375" customWidth="1" style="353" min="40" max="40"/>
    <col width="2.7109375" customWidth="1" style="353" min="41" max="41"/>
    <col width="3.7109375" customWidth="1" style="353" min="42" max="44"/>
    <col hidden="1" width="3.7109375" customWidth="1" style="353" min="45" max="47"/>
    <col width="2.7109375" customWidth="1" style="353" min="48" max="48"/>
    <col width="9.140625" customWidth="1" style="351" min="49" max="49"/>
    <col width="2.7109375" customWidth="1" style="353" min="50" max="50"/>
    <col hidden="1" width="9.7109375" customWidth="1" style="353" min="51" max="51"/>
    <col hidden="1" width="2.7109375" customWidth="1" style="353" min="52" max="52"/>
    <col hidden="1" width="8.7109375" customWidth="1" style="351" min="53" max="53"/>
    <col hidden="1" width="2.7109375" customWidth="1" style="353" min="54" max="54"/>
    <col hidden="1" width="8.7109375" customWidth="1" style="351" min="55" max="55"/>
    <col hidden="1" width="2.7109375" customWidth="1" style="353" min="56" max="56"/>
    <col hidden="1" width="8.7109375" customWidth="1" style="353" min="57" max="57"/>
    <col hidden="1" width="2.7109375" customWidth="1" style="353" min="58" max="58"/>
    <col hidden="1" width="8.7109375" customWidth="1" style="353" min="59" max="59"/>
    <col hidden="1" width="3.7109375" customWidth="1" style="353" min="60" max="60"/>
    <col hidden="1" width="5.7109375" customWidth="1" style="353" min="61" max="61"/>
    <col hidden="1" width="2.7109375" customWidth="1" style="353" min="62" max="62"/>
    <col hidden="1" width="9.7109375" customWidth="1" style="353" min="63" max="63"/>
    <col hidden="1" width="2.7109375" customWidth="1" style="353" min="64" max="64"/>
    <col width="3.7109375" customWidth="1" style="353" min="65" max="68"/>
    <col width="4.7109375" customWidth="1" style="353" min="69" max="71"/>
    <col width="5" customWidth="1" style="353" min="72" max="72"/>
    <col width="2.7109375" customWidth="1" style="353" min="73" max="73"/>
    <col width="3.7109375" customWidth="1" style="353" min="74" max="75"/>
    <col outlineLevel="1" width="3.7109375" customWidth="1" style="353" min="76" max="77"/>
    <col outlineLevel="1" width="2.7109375" customWidth="1" style="353" min="78" max="78"/>
    <col hidden="1" outlineLevel="1" width="6.7109375" customWidth="1" style="353" min="79" max="81"/>
    <col hidden="1" outlineLevel="1" width="8" customWidth="1" style="353" min="82" max="82"/>
    <col hidden="1" outlineLevel="1" width="8.28515625" customWidth="1" style="353" min="83" max="83"/>
    <col hidden="1" outlineLevel="1" width="6.7109375" customWidth="1" style="353" min="84" max="85"/>
    <col hidden="1" outlineLevel="1" width="8" customWidth="1" style="353" min="86" max="86"/>
    <col hidden="1" outlineLevel="1" width="8.28515625" customWidth="1" style="353" min="87" max="87"/>
    <col hidden="1" outlineLevel="1" width="8.140625" customWidth="1" style="353" min="88" max="88"/>
    <col hidden="1" outlineLevel="1" width="7.28515625" customWidth="1" style="353" min="89" max="89"/>
    <col hidden="1" outlineLevel="1" width="8.7109375" customWidth="1" style="353" min="90" max="90"/>
    <col hidden="1" outlineLevel="1" width="7" customWidth="1" style="353" min="91" max="94"/>
    <col hidden="1" outlineLevel="1" width="2.7109375" customWidth="1" style="353" min="95" max="96"/>
    <col hidden="1" outlineLevel="1" width="7.7109375" customWidth="1" style="352" min="97" max="97"/>
    <col hidden="1" outlineLevel="1" width="2.7109375" customWidth="1" style="353" min="98" max="98"/>
    <col hidden="1" outlineLevel="1" width="3.140625" customWidth="1" style="353" min="99" max="99"/>
    <col hidden="1" outlineLevel="1" width="8.140625" customWidth="1" style="351" min="100" max="100"/>
    <col hidden="1" outlineLevel="1" width="8.140625" customWidth="1" style="353" min="101" max="101"/>
    <col hidden="1" outlineLevel="1" width="12.85546875" customWidth="1" style="353" min="102" max="102"/>
    <col hidden="1" outlineLevel="1" width="7.7109375" customWidth="1" style="353" min="103" max="104"/>
    <col hidden="1" outlineLevel="1" width="2.28515625" customWidth="1" style="353" min="105" max="105"/>
    <col hidden="1" outlineLevel="1" width="6.7109375" customWidth="1" style="353" min="106" max="106"/>
    <col outlineLevel="1" width="1.7109375" customWidth="1" style="353" min="107" max="107"/>
    <col outlineLevel="1" width="6.7109375" customWidth="1" style="353" min="108" max="114"/>
    <col outlineLevel="1" width="5.28515625" customWidth="1" style="353" min="115" max="115"/>
    <col outlineLevel="1" width="6.7109375" customWidth="1" style="353" min="116" max="122"/>
    <col outlineLevel="1" width="5.5703125" customWidth="1" style="353" min="123" max="123"/>
    <col outlineLevel="1" width="7.85546875" customWidth="1" style="353" min="124" max="124"/>
    <col hidden="1" outlineLevel="1" width="7.85546875" customWidth="1" style="353" min="125" max="126"/>
    <col outlineLevel="1" width="7.85546875" customWidth="1" style="353" min="127" max="127"/>
    <col outlineLevel="1" width="7.28515625" customWidth="1" style="353" min="128" max="128"/>
    <col outlineLevel="1" width="3.42578125" customWidth="1" style="353" min="129" max="129"/>
    <col outlineLevel="1" width="7.5703125" customWidth="1" style="353" min="130" max="130"/>
    <col hidden="1" outlineLevel="1" width="7.5703125" customWidth="1" style="353" min="131" max="135"/>
    <col outlineLevel="1" width="7.5703125" customWidth="1" style="353" min="136" max="136"/>
    <col outlineLevel="1" width="7.28515625" customWidth="1" style="353" min="137" max="137"/>
    <col outlineLevel="1" width="3.7109375" customWidth="1" style="353" min="138" max="138"/>
    <col hidden="1" outlineLevel="1" width="50.28515625" customWidth="1" style="353" min="139" max="139"/>
    <col hidden="1" outlineLevel="1" width="2.5703125" customWidth="1" style="353" min="140" max="140"/>
    <col hidden="1" outlineLevel="1" width="2.7109375" customWidth="1" style="353" min="141" max="142"/>
    <col hidden="1" outlineLevel="1" width="12.5703125" customWidth="1" style="353" min="143" max="143"/>
    <col hidden="1" outlineLevel="1" width="10.7109375" customWidth="1" style="353" min="144" max="146"/>
    <col hidden="1" outlineLevel="1" width="9.140625" customWidth="1" style="353" min="147" max="147"/>
    <col hidden="1" outlineLevel="1" width="2.7109375" customWidth="1" style="353" min="148" max="150"/>
    <col outlineLevel="1" width="6.42578125" customWidth="1" style="353" min="151" max="151"/>
    <col outlineLevel="1" width="5.7109375" customWidth="1" style="353" min="152" max="152"/>
    <col hidden="1" outlineLevel="1" width="5.7109375" customWidth="1" style="353" min="153" max="160"/>
    <col outlineLevel="1" width="9.140625" customWidth="1" style="189" min="161" max="161"/>
    <col outlineLevel="2" width="10.140625" customWidth="1" style="353" min="162" max="163"/>
    <col outlineLevel="2" width="9.140625" customWidth="1" style="353" min="164" max="167"/>
    <col outlineLevel="2" width="3.140625" customWidth="1" style="353" min="168" max="168"/>
    <col outlineLevel="2" width="9.85546875" customWidth="1" style="353" min="169" max="169"/>
    <col outlineLevel="2" width="9.7109375" customWidth="1" style="353" min="170" max="170"/>
    <col outlineLevel="2" width="9.28515625" bestFit="1" customWidth="1" style="353" min="171" max="171"/>
    <col outlineLevel="2" width="12.28515625" bestFit="1" customWidth="1" style="353" min="172" max="172"/>
    <col outlineLevel="2" width="9.28515625" bestFit="1" customWidth="1" style="353" min="173" max="173"/>
    <col outlineLevel="2" width="9.140625" customWidth="1" style="353" min="174" max="174"/>
    <col hidden="1" outlineLevel="2" width="3.140625" customWidth="1" style="353" min="175" max="175"/>
    <col hidden="1" outlineLevel="2" width="10.42578125" customWidth="1" style="353" min="176" max="177"/>
    <col hidden="1" outlineLevel="2" width="9.140625" customWidth="1" style="353" min="178" max="181"/>
    <col hidden="1" outlineLevel="2" width="3.140625" customWidth="1" style="353" min="182" max="182"/>
    <col hidden="1" outlineLevel="2" width="10.140625" customWidth="1" style="353" min="183" max="184"/>
    <col hidden="1" outlineLevel="2" width="9.140625" customWidth="1" style="353" min="185" max="188"/>
    <col hidden="1" outlineLevel="2" width="3.140625" customWidth="1" style="353" min="189" max="189"/>
    <col hidden="1" outlineLevel="2" width="10.140625" customWidth="1" style="353" min="190" max="191"/>
    <col hidden="1" outlineLevel="2" width="9.140625" customWidth="1" style="353" min="192" max="195"/>
    <col hidden="1" outlineLevel="2" width="3.140625" customWidth="1" style="353" min="196" max="196"/>
    <col hidden="1" outlineLevel="2" width="10.140625" customWidth="1" style="353" min="197" max="198"/>
    <col hidden="1" outlineLevel="2" width="9.140625" customWidth="1" style="353" min="199" max="202"/>
    <col hidden="1" outlineLevel="2" width="3.140625" customWidth="1" style="353" min="203" max="203"/>
    <col hidden="1" outlineLevel="2" width="10.140625" customWidth="1" style="353" min="204" max="205"/>
    <col hidden="1" outlineLevel="2" width="9.140625" customWidth="1" style="353" min="206" max="209"/>
    <col hidden="1" outlineLevel="2" width="3.140625" customWidth="1" style="353" min="210" max="210"/>
    <col hidden="1" outlineLevel="2" width="10.140625" customWidth="1" style="353" min="211" max="212"/>
    <col hidden="1" outlineLevel="2" width="9.140625" customWidth="1" style="353" min="213" max="216"/>
    <col hidden="1" outlineLevel="2" width="3.140625" customWidth="1" style="353" min="217" max="217"/>
    <col hidden="1" outlineLevel="2" width="10.140625" customWidth="1" style="353" min="218" max="219"/>
    <col hidden="1" outlineLevel="2" width="9.140625" customWidth="1" style="353" min="220" max="223"/>
    <col hidden="1" outlineLevel="2" width="3.140625" customWidth="1" style="353" min="224" max="224"/>
    <col hidden="1" outlineLevel="2" width="10.140625" customWidth="1" style="353" min="225" max="226"/>
    <col hidden="1" outlineLevel="2" width="9.140625" customWidth="1" style="353" min="227" max="230"/>
    <col outlineLevel="2" width="9.140625" customWidth="1" style="353" min="231" max="231"/>
    <col outlineLevel="2" width="2.7109375" customWidth="1" style="353" min="232" max="232"/>
    <col width="9.140625" customWidth="1" style="353" min="233" max="16384"/>
  </cols>
  <sheetData>
    <row r="1" s="189">
      <c r="A1" s="334" t="n"/>
      <c r="B1" s="156" t="inlineStr">
        <is>
          <t>Algemene gegevens — worden automatisch gevuld vanuit het tabblad Invoer</t>
        </is>
      </c>
      <c r="Z1" s="348" t="n"/>
      <c r="AA1" s="348" t="n"/>
      <c r="AB1" s="348" t="n"/>
      <c r="AI1" s="140" t="n"/>
      <c r="AW1" s="141" t="n"/>
      <c r="AY1" s="140" t="n"/>
      <c r="BA1" s="141" t="n"/>
      <c r="BC1" s="141" t="n"/>
      <c r="CD1" s="142" t="n"/>
      <c r="CE1" s="142" t="n"/>
      <c r="CF1" s="143" t="n"/>
      <c r="CG1" s="143" t="n"/>
      <c r="CH1" s="142" t="n"/>
      <c r="CI1" s="142" t="n"/>
      <c r="CJ1" s="142" t="n"/>
      <c r="CK1" s="142" t="n"/>
      <c r="CL1" s="140" t="n"/>
      <c r="CM1" s="142" t="n"/>
      <c r="CN1" s="142" t="n"/>
      <c r="CO1" s="142" t="n"/>
      <c r="CP1" s="142" t="n"/>
      <c r="CS1" s="140" t="n"/>
      <c r="CV1" s="141" t="n"/>
      <c r="CX1" s="145" t="n"/>
      <c r="EK1" s="349" t="n"/>
      <c r="EM1" s="348" t="n"/>
      <c r="EN1" s="335" t="n"/>
      <c r="EO1" s="348" t="n"/>
      <c r="EP1" s="348" t="n"/>
      <c r="ER1" s="349" t="n"/>
      <c r="HX1" s="349" t="n"/>
    </row>
    <row r="2" s="189">
      <c r="A2" s="334" t="n"/>
      <c r="R2" t="inlineStr">
        <is>
          <t>hier invoeren</t>
        </is>
      </c>
      <c r="Z2" s="348" t="n"/>
      <c r="AA2" s="348" t="n"/>
      <c r="AB2" s="348" t="n"/>
      <c r="AI2" s="140" t="n"/>
      <c r="AW2" s="141" t="n"/>
      <c r="AY2" s="140" t="n"/>
      <c r="BA2" s="141" t="n"/>
      <c r="BC2" s="141" t="n"/>
      <c r="CD2" s="142" t="n"/>
      <c r="CE2" s="142" t="n"/>
      <c r="CF2" s="143" t="n"/>
      <c r="CG2" s="143" t="n"/>
      <c r="CH2" s="142" t="n"/>
      <c r="CI2" s="142" t="n"/>
      <c r="CJ2" s="142" t="n"/>
      <c r="CK2" s="142" t="n"/>
      <c r="CL2" s="140" t="n"/>
      <c r="CM2" s="142" t="n"/>
      <c r="CN2" s="142" t="n"/>
      <c r="CO2" s="142" t="n"/>
      <c r="CP2" s="142" t="n"/>
      <c r="CS2" s="140" t="n"/>
      <c r="CV2" s="141" t="n"/>
      <c r="CX2" s="145" t="n"/>
      <c r="EK2" s="349" t="n"/>
      <c r="EM2" s="348" t="n"/>
      <c r="EN2" s="335" t="n"/>
      <c r="EO2" s="348" t="n"/>
      <c r="EP2" s="348" t="n"/>
      <c r="ER2" s="349" t="n"/>
      <c r="HX2" s="349" t="n"/>
    </row>
    <row r="3" s="189">
      <c r="A3" s="334" t="n"/>
      <c r="B3" s="150" t="inlineStr">
        <is>
          <t>Aantal fietsen</t>
        </is>
      </c>
      <c r="C3" s="151" t="n"/>
      <c r="D3" s="151" t="n"/>
      <c r="E3" s="151" t="n"/>
      <c r="F3" s="151" t="n"/>
      <c r="G3" s="151" t="n"/>
      <c r="H3" s="151" t="n"/>
      <c r="I3" s="151" t="n"/>
      <c r="J3" s="151" t="n"/>
      <c r="K3" s="151" t="n"/>
      <c r="L3" s="152" t="n"/>
      <c r="M3" s="334" t="n"/>
      <c r="O3" s="646">
        <f>N(Invoer!L8)</f>
        <v/>
      </c>
      <c r="R3" s="156">
        <f>IF(Invoer!L6="","",Invoer!L6)</f>
        <v/>
      </c>
      <c r="Z3" s="348" t="n"/>
      <c r="AA3" s="348" t="n"/>
      <c r="AB3" s="348" t="n"/>
      <c r="AD3" s="154" t="n"/>
      <c r="AI3" s="140" t="n"/>
      <c r="AW3" s="141" t="n"/>
      <c r="AY3" s="140" t="n"/>
      <c r="BA3" s="141" t="n"/>
      <c r="BC3" s="141" t="n"/>
      <c r="CD3" s="142" t="n"/>
      <c r="CE3" s="142" t="n"/>
      <c r="CF3" s="143" t="n"/>
      <c r="CG3" s="143" t="n"/>
      <c r="CH3" s="142" t="n"/>
      <c r="CI3" s="142" t="n"/>
      <c r="CJ3" s="142" t="n"/>
      <c r="CK3" s="142" t="n"/>
      <c r="CL3" s="140" t="n"/>
      <c r="CM3" s="142" t="n"/>
      <c r="CN3" s="142" t="n"/>
      <c r="CO3" s="142" t="n"/>
      <c r="CP3" s="142" t="n"/>
      <c r="CS3" s="140" t="n"/>
      <c r="CV3" s="141" t="n"/>
      <c r="CX3" s="145" t="n"/>
      <c r="EK3" s="349" t="n"/>
      <c r="EM3" s="348" t="n"/>
      <c r="EN3" s="335" t="n"/>
      <c r="EO3" s="173" t="n"/>
      <c r="EP3" s="348" t="n"/>
      <c r="ER3" s="349" t="n"/>
      <c r="FF3" s="156" t="n"/>
      <c r="HX3" s="349" t="n"/>
    </row>
    <row r="4" ht="13.5" customHeight="1" s="189" thickBot="1">
      <c r="A4" s="334" t="n"/>
      <c r="B4" s="150" t="inlineStr">
        <is>
          <t>Aantal fietsen per tocht</t>
        </is>
      </c>
      <c r="C4" s="151" t="n"/>
      <c r="D4" s="151" t="n"/>
      <c r="E4" s="151" t="n"/>
      <c r="F4" s="151" t="n"/>
      <c r="G4" s="151" t="n"/>
      <c r="H4" s="151" t="n"/>
      <c r="I4" s="151" t="n"/>
      <c r="J4" s="151" t="n"/>
      <c r="K4" s="151" t="n"/>
      <c r="L4" s="152" t="n"/>
      <c r="M4" s="334" t="n"/>
      <c r="O4" s="646">
        <f>N(Invoer!L9)</f>
        <v/>
      </c>
      <c r="R4" s="156">
        <f>IF(Invoer!L7="","",Invoer!L7)</f>
        <v/>
      </c>
      <c r="Z4" s="348" t="n"/>
      <c r="AA4" s="348" t="n"/>
      <c r="AB4" s="348" t="n"/>
      <c r="AI4" s="140" t="n"/>
      <c r="AW4" s="141" t="n"/>
      <c r="AY4" s="140" t="n"/>
      <c r="BA4" s="141" t="n"/>
      <c r="BC4" s="141" t="n"/>
      <c r="CD4" s="142" t="n"/>
      <c r="CE4" s="142" t="n"/>
      <c r="CF4" s="143" t="n"/>
      <c r="CG4" s="143" t="n"/>
      <c r="CH4" s="142" t="n"/>
      <c r="CI4" s="142" t="n"/>
      <c r="CJ4" s="142" t="n"/>
      <c r="CK4" s="142" t="n"/>
      <c r="CL4" s="140" t="n"/>
      <c r="CM4" s="142" t="n"/>
      <c r="CN4" s="142" t="n"/>
      <c r="CO4" s="142" t="n"/>
      <c r="CP4" s="142" t="n"/>
      <c r="CS4" s="140" t="n"/>
      <c r="CV4" s="141" t="n"/>
      <c r="CX4" s="145" t="n"/>
      <c r="EK4" s="349" t="n"/>
      <c r="EM4" s="348" t="n"/>
      <c r="EN4" s="335" t="n"/>
      <c r="EO4" s="348" t="n"/>
      <c r="EP4" s="348" t="n"/>
      <c r="ER4" s="349" t="n"/>
      <c r="HX4" s="349" t="n"/>
    </row>
    <row r="5" ht="13.5" customHeight="1" s="189" thickBot="1">
      <c r="A5" s="334" t="n"/>
      <c r="B5" s="150" t="inlineStr">
        <is>
          <t>Gemiddeld aantal tochten per jaar</t>
        </is>
      </c>
      <c r="C5" s="151" t="n"/>
      <c r="D5" s="151" t="n"/>
      <c r="E5" s="151" t="n"/>
      <c r="F5" s="151" t="n"/>
      <c r="G5" s="151" t="n"/>
      <c r="H5" s="151" t="n"/>
      <c r="I5" s="151" t="n"/>
      <c r="J5" s="151" t="n"/>
      <c r="K5" s="151" t="n"/>
      <c r="L5" s="152" t="n"/>
      <c r="M5" s="334" t="n"/>
      <c r="O5" s="646">
        <f>N(Invoer!L10)</f>
        <v/>
      </c>
      <c r="Z5" s="348" t="n"/>
      <c r="AA5" s="348" t="n"/>
      <c r="AB5" s="348" t="n"/>
      <c r="AI5" s="140" t="n"/>
      <c r="AW5" s="141" t="n"/>
      <c r="AX5" s="157" t="inlineStr">
        <is>
          <t>OH-kosten</t>
        </is>
      </c>
      <c r="AY5" s="158" t="n"/>
      <c r="BA5" s="141" t="n"/>
      <c r="BC5" s="159" t="inlineStr">
        <is>
          <t>Kosten</t>
        </is>
      </c>
      <c r="BD5" s="160" t="n"/>
      <c r="BE5" s="161" t="n"/>
      <c r="BK5" s="162" t="inlineStr">
        <is>
          <t>Gevolg</t>
        </is>
      </c>
      <c r="BL5" s="161" t="n"/>
      <c r="CE5" s="142" t="n"/>
      <c r="CF5" s="162" t="inlineStr">
        <is>
          <t>Storingfrequentie</t>
        </is>
      </c>
      <c r="CG5" s="160" t="n"/>
      <c r="CH5" s="161" t="n"/>
      <c r="CI5" s="142" t="n"/>
      <c r="CJ5" s="142" t="n"/>
      <c r="CK5" s="142" t="n"/>
      <c r="CL5" s="163" t="inlineStr">
        <is>
          <t>Storingsfrequentie</t>
        </is>
      </c>
      <c r="CM5" s="161" t="n"/>
      <c r="CN5" s="164" t="n"/>
      <c r="CO5" s="165" t="n"/>
      <c r="CP5" s="165" t="n"/>
      <c r="CS5" s="140" t="n"/>
      <c r="CV5" s="141" t="n"/>
      <c r="CX5" s="145" t="n"/>
      <c r="DT5" s="166" t="inlineStr">
        <is>
          <t>ONB missie</t>
        </is>
      </c>
      <c r="DU5" s="167" t="n"/>
      <c r="DV5" s="167" t="n"/>
      <c r="DW5" s="167" t="n"/>
      <c r="DX5" s="168" t="n"/>
      <c r="DZ5" s="166" t="inlineStr">
        <is>
          <t>ONB aanvang</t>
        </is>
      </c>
      <c r="EA5" s="167" t="n"/>
      <c r="EB5" s="167" t="n"/>
      <c r="EC5" s="167" t="n"/>
      <c r="ED5" s="167" t="n"/>
      <c r="EE5" s="167" t="n"/>
      <c r="EF5" s="167" t="n"/>
      <c r="EG5" s="168" t="n"/>
      <c r="EK5" s="349" t="n"/>
      <c r="EM5" s="348" t="n"/>
      <c r="EN5" s="335" t="n"/>
      <c r="EO5" s="348" t="n"/>
      <c r="EP5" s="348" t="n"/>
      <c r="EQ5" s="169" t="n"/>
      <c r="ER5" s="349" t="n"/>
      <c r="FF5" s="174">
        <f>EU13</f>
        <v/>
      </c>
      <c r="FG5" s="175" t="n"/>
      <c r="FH5" s="175" t="n"/>
      <c r="FI5" s="175" t="n"/>
      <c r="FJ5" s="175" t="n"/>
      <c r="FK5" s="172" t="n"/>
      <c r="FL5" s="173" t="n"/>
      <c r="FM5" s="174">
        <f>EV13</f>
        <v/>
      </c>
      <c r="FN5" s="175" t="n"/>
      <c r="FO5" s="175" t="n"/>
      <c r="FP5" s="175" t="n"/>
      <c r="FQ5" s="175" t="n"/>
      <c r="FR5" s="172" t="n"/>
      <c r="FS5" s="173" t="n"/>
      <c r="FT5" s="174">
        <f>EW13</f>
        <v/>
      </c>
      <c r="FU5" s="175" t="n"/>
      <c r="FV5" s="175" t="n"/>
      <c r="FW5" s="175" t="n"/>
      <c r="FX5" s="175" t="n"/>
      <c r="FY5" s="172" t="n"/>
      <c r="FZ5" s="173" t="n"/>
      <c r="GA5" s="174">
        <f>EX13</f>
        <v/>
      </c>
      <c r="GB5" s="175" t="n"/>
      <c r="GC5" s="175" t="n"/>
      <c r="GD5" s="175" t="n"/>
      <c r="GE5" s="175" t="n"/>
      <c r="GF5" s="172" t="n"/>
      <c r="GG5" s="173" t="n"/>
      <c r="GH5" s="174">
        <f>EY13</f>
        <v/>
      </c>
      <c r="GI5" s="175" t="n"/>
      <c r="GJ5" s="175" t="n"/>
      <c r="GK5" s="175" t="n"/>
      <c r="GL5" s="175" t="n"/>
      <c r="GM5" s="172" t="n"/>
      <c r="GN5" s="173" t="n"/>
      <c r="GO5" s="174">
        <f>EZ13</f>
        <v/>
      </c>
      <c r="GP5" s="175" t="n"/>
      <c r="GQ5" s="175" t="n"/>
      <c r="GR5" s="175" t="n"/>
      <c r="GS5" s="175" t="n"/>
      <c r="GT5" s="172" t="n"/>
      <c r="GU5" s="173" t="n"/>
      <c r="GV5" s="174">
        <f>FA13</f>
        <v/>
      </c>
      <c r="GW5" s="175" t="n"/>
      <c r="GX5" s="175" t="n"/>
      <c r="GY5" s="175" t="n"/>
      <c r="GZ5" s="175" t="n"/>
      <c r="HA5" s="172" t="n"/>
      <c r="HB5" s="173" t="n"/>
      <c r="HC5" s="174">
        <f>FB13</f>
        <v/>
      </c>
      <c r="HD5" s="175" t="n"/>
      <c r="HE5" s="175" t="n"/>
      <c r="HF5" s="175" t="n"/>
      <c r="HG5" s="175" t="n"/>
      <c r="HH5" s="172" t="n"/>
      <c r="HI5" s="173" t="n"/>
      <c r="HJ5" s="174">
        <f>FC13</f>
        <v/>
      </c>
      <c r="HK5" s="175" t="n"/>
      <c r="HL5" s="175" t="n"/>
      <c r="HM5" s="175" t="n"/>
      <c r="HN5" s="175" t="n"/>
      <c r="HO5" s="172" t="n"/>
      <c r="HP5" s="173" t="n"/>
      <c r="HQ5" s="174">
        <f>FD13</f>
        <v/>
      </c>
      <c r="HR5" s="175" t="n"/>
      <c r="HS5" s="175" t="n"/>
      <c r="HT5" s="175" t="n"/>
      <c r="HU5" s="175" t="n"/>
      <c r="HV5" s="172" t="n"/>
      <c r="HX5" s="349" t="n"/>
    </row>
    <row r="6" s="189">
      <c r="A6" s="334" t="n"/>
      <c r="B6" s="150" t="inlineStr">
        <is>
          <t>Gemiddeld aantal dagen per tocht</t>
        </is>
      </c>
      <c r="C6" s="151" t="n"/>
      <c r="D6" s="151" t="n"/>
      <c r="E6" s="151" t="n"/>
      <c r="F6" s="151" t="n"/>
      <c r="G6" s="151" t="n"/>
      <c r="H6" s="151" t="n"/>
      <c r="I6" s="151" t="n"/>
      <c r="J6" s="151" t="n"/>
      <c r="K6" s="151" t="n"/>
      <c r="L6" s="152" t="n"/>
      <c r="M6" s="334" t="n"/>
      <c r="O6" s="647">
        <f>N(Invoer!L11)</f>
        <v/>
      </c>
      <c r="Q6" s="176" t="inlineStr">
        <is>
          <t>=</t>
        </is>
      </c>
      <c r="R6" s="177">
        <f>O6*24</f>
        <v/>
      </c>
      <c r="S6" s="334" t="inlineStr">
        <is>
          <t>uur</t>
        </is>
      </c>
      <c r="Z6" s="348" t="n"/>
      <c r="AA6" s="348" t="n"/>
      <c r="AB6" s="348" t="n"/>
      <c r="AI6" s="140" t="n"/>
      <c r="AW6" s="141" t="n"/>
      <c r="AX6" s="188" t="inlineStr">
        <is>
          <t>Huidig</t>
        </is>
      </c>
      <c r="AY6" s="179" t="n"/>
      <c r="BA6" s="141" t="n"/>
      <c r="BC6" s="180" t="inlineStr">
        <is>
          <t>Huidig</t>
        </is>
      </c>
      <c r="BD6" s="181" t="n"/>
      <c r="BE6" s="182" t="n"/>
      <c r="BK6" s="188" t="inlineStr">
        <is>
          <t>Huidig</t>
        </is>
      </c>
      <c r="BL6" s="187" t="n"/>
      <c r="CE6" s="142" t="n"/>
      <c r="CF6" s="188" t="n"/>
      <c r="CH6" s="187" t="n"/>
      <c r="CI6" s="142" t="n"/>
      <c r="CJ6" s="142" t="n"/>
      <c r="CK6" s="142" t="n"/>
      <c r="CL6" s="188" t="inlineStr">
        <is>
          <t>Huidig</t>
        </is>
      </c>
      <c r="CM6" s="187" t="n"/>
      <c r="CS6" s="140" t="n"/>
      <c r="CV6" s="141" t="n"/>
      <c r="CX6" s="145" t="n"/>
      <c r="DT6" s="188" t="inlineStr">
        <is>
          <t>Huidig</t>
        </is>
      </c>
      <c r="DX6" s="187" t="n"/>
      <c r="DZ6" s="188" t="inlineStr">
        <is>
          <t>Huidig</t>
        </is>
      </c>
      <c r="EG6" s="187" t="n"/>
      <c r="EK6" s="349" t="n"/>
      <c r="EM6" s="348" t="n"/>
      <c r="EN6" s="335" t="n"/>
      <c r="EO6" s="348" t="n"/>
      <c r="EP6" s="348" t="n"/>
      <c r="EQ6" s="169" t="n"/>
      <c r="ER6" s="349" t="n"/>
      <c r="FF6" s="188" t="n"/>
      <c r="FK6" s="187" t="n"/>
      <c r="FM6" s="188" t="n"/>
      <c r="FR6" s="187" t="n"/>
      <c r="FT6" s="188" t="n"/>
      <c r="FY6" s="187" t="n"/>
      <c r="GA6" s="188" t="n"/>
      <c r="GF6" s="187" t="n"/>
      <c r="GH6" s="188" t="n"/>
      <c r="GM6" s="187" t="n"/>
      <c r="GO6" s="188" t="n"/>
      <c r="GT6" s="187" t="n"/>
      <c r="GV6" s="188" t="n"/>
      <c r="HA6" s="187" t="n"/>
      <c r="HC6" s="188" t="n"/>
      <c r="HH6" s="187" t="n"/>
      <c r="HJ6" s="188" t="n"/>
      <c r="HO6" s="187" t="n"/>
      <c r="HQ6" s="188" t="n"/>
      <c r="HV6" s="187" t="n"/>
      <c r="HX6" s="349" t="n"/>
    </row>
    <row r="7" s="189">
      <c r="A7" s="334" t="n"/>
      <c r="B7" s="190" t="inlineStr">
        <is>
          <t>Gem. aantal dagen bij verhuurder</t>
        </is>
      </c>
      <c r="C7" s="191" t="n"/>
      <c r="D7" s="191" t="n"/>
      <c r="E7" s="191" t="n"/>
      <c r="F7" s="191" t="n"/>
      <c r="G7" s="191" t="n"/>
      <c r="H7" s="191" t="n"/>
      <c r="I7" s="191" t="n"/>
      <c r="J7" s="191" t="n"/>
      <c r="K7" s="191" t="n"/>
      <c r="L7" s="192" t="n"/>
      <c r="M7" s="334" t="n"/>
      <c r="O7" s="132">
        <f>(365 - Missies_per_jaar*Missieduur/24)/Missies_per_jaar</f>
        <v/>
      </c>
      <c r="Q7" s="176" t="inlineStr">
        <is>
          <t>=</t>
        </is>
      </c>
      <c r="R7" s="177">
        <f>(8760 - Missies_per_jaar*Missieduur)/Missies_per_jaar</f>
        <v/>
      </c>
      <c r="S7" s="334" t="inlineStr">
        <is>
          <t>uur</t>
        </is>
      </c>
      <c r="Z7" s="348" t="n"/>
      <c r="AA7" s="348" t="n"/>
      <c r="AB7" s="348" t="n"/>
      <c r="AI7" s="140" t="n"/>
      <c r="AW7" s="141" t="n"/>
      <c r="AX7" s="188" t="n"/>
      <c r="AY7" s="179" t="n"/>
      <c r="BA7" s="141" t="n"/>
      <c r="BC7" s="193" t="n"/>
      <c r="BE7" s="187" t="n"/>
      <c r="BK7" s="188" t="n"/>
      <c r="BL7" s="187" t="n"/>
      <c r="CE7" s="142" t="n"/>
      <c r="CF7" s="188" t="n"/>
      <c r="CH7" s="187" t="n"/>
      <c r="CI7" s="142" t="n"/>
      <c r="CJ7" s="142" t="n"/>
      <c r="CK7" s="142" t="n"/>
      <c r="CL7" s="188" t="n"/>
      <c r="CM7" s="187" t="n"/>
      <c r="CS7" s="140" t="n"/>
      <c r="CV7" s="141" t="n"/>
      <c r="CX7" s="145" t="n"/>
      <c r="DT7" s="188" t="n"/>
      <c r="DX7" s="187" t="n"/>
      <c r="DZ7" s="188" t="n"/>
      <c r="EG7" s="187" t="n"/>
      <c r="EK7" s="349" t="n"/>
      <c r="EM7" s="348" t="n"/>
      <c r="EN7" s="335" t="n"/>
      <c r="EO7" s="348" t="n"/>
      <c r="EP7" s="348" t="n"/>
      <c r="EQ7" s="169" t="n"/>
      <c r="ER7" s="349" t="n"/>
      <c r="FF7" s="188" t="n"/>
      <c r="FK7" s="187" t="n"/>
      <c r="FM7" s="188" t="n"/>
      <c r="FR7" s="187" t="n"/>
      <c r="FT7" s="188" t="n"/>
      <c r="FY7" s="187" t="n"/>
      <c r="GA7" s="188" t="n"/>
      <c r="GF7" s="187" t="n"/>
      <c r="GH7" s="188" t="n"/>
      <c r="GM7" s="187" t="n"/>
      <c r="GO7" s="188" t="n"/>
      <c r="GT7" s="187" t="n"/>
      <c r="GV7" s="188" t="n"/>
      <c r="HA7" s="187" t="n"/>
      <c r="HC7" s="188" t="n"/>
      <c r="HH7" s="187" t="n"/>
      <c r="HJ7" s="188" t="n"/>
      <c r="HO7" s="187" t="n"/>
      <c r="HQ7" s="188" t="n"/>
      <c r="HV7" s="187" t="n"/>
      <c r="HX7" s="349" t="n"/>
    </row>
    <row r="8" ht="13.5" customHeight="1" s="189" thickBot="1">
      <c r="A8" s="334" t="n"/>
      <c r="B8" s="150" t="inlineStr">
        <is>
          <t>Gemiddelde Looptijd in jaren</t>
        </is>
      </c>
      <c r="C8" s="151" t="n"/>
      <c r="D8" s="151" t="n"/>
      <c r="E8" s="151" t="n"/>
      <c r="F8" s="151" t="n"/>
      <c r="G8" s="151" t="n"/>
      <c r="H8" s="151" t="n"/>
      <c r="I8" s="151" t="n"/>
      <c r="J8" s="151" t="n"/>
      <c r="K8" s="151" t="n"/>
      <c r="L8" s="152" t="n"/>
      <c r="M8" s="348" t="n"/>
      <c r="N8" s="348" t="n"/>
      <c r="O8" s="646">
        <f>N(Invoer!L12)</f>
        <v/>
      </c>
      <c r="P8" s="348" t="n"/>
      <c r="R8" s="197" t="n"/>
      <c r="Z8" s="348" t="n"/>
      <c r="AA8" s="348" t="n"/>
      <c r="AB8" s="348" t="n"/>
      <c r="AI8" s="140" t="n"/>
      <c r="AW8" s="141" t="n"/>
      <c r="AX8" s="188" t="n"/>
      <c r="AY8" s="179" t="n"/>
      <c r="BA8" s="141" t="n"/>
      <c r="BC8" s="193" t="n"/>
      <c r="BD8" s="236" t="n"/>
      <c r="BE8" s="196" t="n"/>
      <c r="BK8" s="188" t="n"/>
      <c r="BL8" s="187" t="n"/>
      <c r="CE8" s="142" t="n"/>
      <c r="CF8" s="188" t="n"/>
      <c r="CH8" s="187" t="n"/>
      <c r="CI8" s="142" t="n"/>
      <c r="CJ8" s="142" t="n"/>
      <c r="CK8" s="142" t="n"/>
      <c r="CL8" s="188" t="n"/>
      <c r="CM8" s="187" t="n"/>
      <c r="CS8" s="140" t="n"/>
      <c r="CV8" s="141" t="n"/>
      <c r="CX8" s="145" t="n"/>
      <c r="DT8" s="188" t="n"/>
      <c r="DX8" s="187" t="n"/>
      <c r="DZ8" s="188" t="n"/>
      <c r="EG8" s="187" t="n"/>
      <c r="EK8" s="349" t="n"/>
      <c r="EM8" s="348" t="n"/>
      <c r="EN8" s="335" t="n"/>
      <c r="EO8" s="348" t="n"/>
      <c r="EP8" s="348" t="n"/>
      <c r="EQ8" s="169" t="n"/>
      <c r="ER8" s="349" t="n"/>
      <c r="FF8" s="188" t="n"/>
      <c r="FK8" s="187" t="n"/>
      <c r="FM8" s="188" t="n"/>
      <c r="FR8" s="187" t="n"/>
      <c r="FT8" s="188" t="n"/>
      <c r="FY8" s="187" t="n"/>
      <c r="GA8" s="188" t="n"/>
      <c r="GF8" s="187" t="n"/>
      <c r="GH8" s="188" t="n"/>
      <c r="GM8" s="187" t="n"/>
      <c r="GO8" s="188" t="n"/>
      <c r="GT8" s="187" t="n"/>
      <c r="GV8" s="188" t="n"/>
      <c r="HA8" s="187" t="n"/>
      <c r="HC8" s="188" t="n"/>
      <c r="HH8" s="187" t="n"/>
      <c r="HJ8" s="188" t="n"/>
      <c r="HO8" s="187" t="n"/>
      <c r="HQ8" s="188" t="n"/>
      <c r="HV8" s="187" t="n"/>
      <c r="HX8" s="349" t="n"/>
    </row>
    <row r="9" ht="13.5" customHeight="1" s="189" thickBot="1">
      <c r="A9" s="334" t="n"/>
      <c r="B9" s="334" t="n"/>
      <c r="C9" s="334" t="n"/>
      <c r="D9" s="334" t="n"/>
      <c r="E9" s="334" t="n"/>
      <c r="F9" s="334" t="n"/>
      <c r="G9" s="334" t="n"/>
      <c r="H9" s="334" t="n"/>
      <c r="I9" s="334" t="n"/>
      <c r="J9" s="334" t="n"/>
      <c r="K9" s="334" t="n"/>
      <c r="L9" s="334" t="n"/>
      <c r="M9" s="334" t="n"/>
      <c r="R9" s="197" t="n"/>
      <c r="Z9" s="348" t="n"/>
      <c r="AA9" s="348" t="n"/>
      <c r="AB9" s="348" t="n"/>
      <c r="AI9" s="140" t="n"/>
      <c r="AW9" s="141" t="n"/>
      <c r="AX9" s="198">
        <f>SUM(OH_kosten)</f>
        <v/>
      </c>
      <c r="AY9" s="199" t="n"/>
      <c r="BA9" s="141" t="n"/>
      <c r="BC9" s="200">
        <f>SUM(Kosten_res_totaal)</f>
        <v/>
      </c>
      <c r="BD9" s="201" t="n"/>
      <c r="BE9" s="202" t="n"/>
      <c r="BK9" s="200">
        <f>SUM(gevolg_kosten)</f>
        <v/>
      </c>
      <c r="BL9" s="203" t="n"/>
      <c r="CE9" s="142" t="n"/>
      <c r="CF9" s="204">
        <f>SUM(m_componenten_lambda)</f>
        <v/>
      </c>
      <c r="CG9" s="205" t="n"/>
      <c r="CH9" s="206" t="n"/>
      <c r="CI9" s="142" t="inlineStr">
        <is>
          <t>per kalenderuur</t>
        </is>
      </c>
      <c r="CJ9" s="142" t="n"/>
      <c r="CK9" s="142" t="n"/>
      <c r="CL9" s="204">
        <f>SUM(lambda_functie)</f>
        <v/>
      </c>
      <c r="CM9" s="206" t="n"/>
      <c r="CO9" t="inlineStr">
        <is>
          <t>per missie uur</t>
        </is>
      </c>
      <c r="CP9" s="140" t="n"/>
      <c r="CS9" s="140" t="n"/>
      <c r="CV9" s="141" t="n"/>
      <c r="CX9" s="145" t="n"/>
      <c r="DT9" s="207">
        <f>MAX(cumm_ONB_missie)</f>
        <v/>
      </c>
      <c r="DU9" s="208" t="n"/>
      <c r="DV9" s="208" t="n"/>
      <c r="DW9" s="208" t="n"/>
      <c r="DX9" s="209" t="n"/>
      <c r="DZ9" s="207">
        <f>MAX(cumm_ONB_aanvang)</f>
        <v/>
      </c>
      <c r="EA9" s="208" t="n"/>
      <c r="EB9" s="208" t="n"/>
      <c r="EC9" s="208" t="n"/>
      <c r="ED9" s="208" t="n"/>
      <c r="EE9" s="208" t="n"/>
      <c r="EF9" s="208" t="n"/>
      <c r="EG9" s="209" t="n"/>
      <c r="EK9" s="349" t="n"/>
      <c r="EM9" s="348" t="n"/>
      <c r="EN9" s="335" t="n"/>
      <c r="EO9" s="348" t="n"/>
      <c r="EP9" s="348" t="n"/>
      <c r="EQ9" s="169" t="n"/>
      <c r="ER9" s="349" t="n"/>
      <c r="EU9" s="210" t="inlineStr">
        <is>
          <t>Van</t>
        </is>
      </c>
      <c r="EV9" s="211" t="n"/>
      <c r="EW9" s="211" t="n"/>
      <c r="EX9" s="211" t="n"/>
      <c r="EY9" s="211" t="n"/>
      <c r="EZ9" s="211" t="n"/>
      <c r="FA9" s="211" t="n"/>
      <c r="FB9" s="211" t="n"/>
      <c r="FC9" s="211" t="n"/>
      <c r="FD9" s="212" t="n"/>
      <c r="FE9" s="213" t="n"/>
      <c r="FF9" s="214">
        <f>SUM(storingfreq_1)</f>
        <v/>
      </c>
      <c r="FG9" s="214">
        <f>SUM(lambda_functie_1)</f>
        <v/>
      </c>
      <c r="FI9" s="216">
        <f>MAX(ONB_missie_1)</f>
        <v/>
      </c>
      <c r="FK9" s="216">
        <f>MAX(ONB_aanvang_1)</f>
        <v/>
      </c>
      <c r="FM9" s="216">
        <f>SUM(storingfreq_2)</f>
        <v/>
      </c>
      <c r="FN9" s="216">
        <f>SUM(lambda_functie_2)</f>
        <v/>
      </c>
      <c r="FP9" s="216">
        <f>MAX(ONB_missie_2)</f>
        <v/>
      </c>
      <c r="FR9" s="216">
        <f>MAX(ONB_aanvang_2)</f>
        <v/>
      </c>
      <c r="FT9" s="214">
        <f>SUM(storingfreq_3)</f>
        <v/>
      </c>
      <c r="FU9" s="214">
        <f>SUM(lambda_functie_3)</f>
        <v/>
      </c>
      <c r="FW9" s="216">
        <f>MAX(onb_missie_3)</f>
        <v/>
      </c>
      <c r="FY9" s="216">
        <f>MAX(onb_aanvang_3)</f>
        <v/>
      </c>
      <c r="GA9" s="214">
        <f>SUM(storingfreq_4)</f>
        <v/>
      </c>
      <c r="GB9" s="214">
        <f>SUM(lambda_functie_4)</f>
        <v/>
      </c>
      <c r="GD9" s="216">
        <f>MAX(ONB_missie_4)</f>
        <v/>
      </c>
      <c r="GF9" s="216">
        <f>MAX(ONB_aanvang_4)</f>
        <v/>
      </c>
      <c r="GH9" s="214">
        <f>SUM(storingfreq_5)</f>
        <v/>
      </c>
      <c r="GI9" s="214">
        <f>SUM(lambda_functie_5)</f>
        <v/>
      </c>
      <c r="GK9" s="216">
        <f>MAX(ONB_missie_5)</f>
        <v/>
      </c>
      <c r="GM9" s="216">
        <f>MAX(ONB_aanvang_5)</f>
        <v/>
      </c>
      <c r="GO9" s="214">
        <f>SUM(storingfreq_6)</f>
        <v/>
      </c>
      <c r="GP9" s="214">
        <f>SUM(lambda_functie_6)</f>
        <v/>
      </c>
      <c r="GR9" s="216">
        <f>MAX(ONB_missie_6)</f>
        <v/>
      </c>
      <c r="GT9" s="216">
        <f>MAX(ONB_aanvang_6)</f>
        <v/>
      </c>
      <c r="GV9" s="214">
        <f>SUM(storingfreq_7)</f>
        <v/>
      </c>
      <c r="GW9" s="214">
        <f>SUM(lambda_functie_7)</f>
        <v/>
      </c>
      <c r="GY9" s="216">
        <f>MAX(ONB_missie_7)</f>
        <v/>
      </c>
      <c r="HA9" s="216">
        <f>MAX(ONB_aanvang_7)</f>
        <v/>
      </c>
      <c r="HC9" s="214">
        <f>SUM(storingfreq_8)</f>
        <v/>
      </c>
      <c r="HD9" s="214">
        <f>SUM(lambda_functie_8)</f>
        <v/>
      </c>
      <c r="HF9" s="216">
        <f>MAX(ONB_missie_8)</f>
        <v/>
      </c>
      <c r="HH9" s="216">
        <f>MAX(ONB_aanvang_8)</f>
        <v/>
      </c>
      <c r="HJ9" s="214">
        <f>SUM(storingfreq_9)</f>
        <v/>
      </c>
      <c r="HK9" s="214">
        <f>SUM(lambda_functie_9)</f>
        <v/>
      </c>
      <c r="HM9" s="216">
        <f>MAX(ONB_missie_9)</f>
        <v/>
      </c>
      <c r="HO9" s="216">
        <f>MAX(ONB_aanvang_9)</f>
        <v/>
      </c>
      <c r="HQ9" s="214">
        <f>SUM(storingfreq_10)</f>
        <v/>
      </c>
      <c r="HR9" s="214">
        <f>SUM(lambda_functie_10)</f>
        <v/>
      </c>
      <c r="HT9" s="216">
        <f>MAX(ONB_missie_10)</f>
        <v/>
      </c>
      <c r="HV9" s="216">
        <f>MAX(ONB_aanvang_10)</f>
        <v/>
      </c>
      <c r="HX9" s="349" t="n"/>
    </row>
    <row r="10" ht="12" customHeight="1" s="189" thickBot="1">
      <c r="A10" s="217" t="n"/>
      <c r="B10" s="218" t="inlineStr">
        <is>
          <t>Gemiddelde interval Groot Onderhoud in jaren</t>
        </is>
      </c>
      <c r="C10" s="219" t="n"/>
      <c r="D10" s="219" t="n"/>
      <c r="E10" s="219" t="n"/>
      <c r="F10" s="219" t="n"/>
      <c r="G10" s="219" t="n"/>
      <c r="H10" s="219" t="n"/>
      <c r="I10" s="219" t="n"/>
      <c r="J10" s="219" t="n"/>
      <c r="K10" s="219" t="n"/>
      <c r="L10" s="220" t="n"/>
      <c r="M10" s="236" t="n"/>
      <c r="N10" s="236" t="n"/>
      <c r="O10" s="648">
        <f>N(Invoer!L13)</f>
        <v/>
      </c>
      <c r="P10" s="236" t="n"/>
      <c r="Q10" s="236" t="inlineStr">
        <is>
          <t>=</t>
        </is>
      </c>
      <c r="R10" s="221">
        <f>O10*8760</f>
        <v/>
      </c>
      <c r="S10" s="217" t="inlineStr">
        <is>
          <t>uur</t>
        </is>
      </c>
      <c r="T10" s="217" t="n"/>
      <c r="U10" s="236" t="n"/>
      <c r="V10" s="236" t="n"/>
      <c r="W10" s="236" t="n"/>
      <c r="X10" s="236" t="n"/>
      <c r="Y10" s="236" t="n"/>
      <c r="Z10" s="222" t="n"/>
      <c r="AA10" s="222" t="n"/>
      <c r="AB10" s="222" t="n"/>
      <c r="AC10" s="236" t="n"/>
      <c r="AD10" s="236" t="n"/>
      <c r="AE10" s="236" t="n"/>
      <c r="AF10" s="236" t="n"/>
      <c r="AG10" s="236" t="n"/>
      <c r="AH10" s="236" t="n"/>
      <c r="AI10" s="223" t="n"/>
      <c r="AJ10" s="236" t="n"/>
      <c r="AK10" s="236" t="n"/>
      <c r="AL10" s="236" t="n"/>
      <c r="AM10" s="236" t="n"/>
      <c r="AN10" s="236" t="n"/>
      <c r="AO10" s="224" t="n"/>
      <c r="AP10" s="236" t="n"/>
      <c r="AQ10" s="236" t="n"/>
      <c r="AR10" s="236" t="n"/>
      <c r="AS10" s="236" t="n"/>
      <c r="AT10" s="236" t="n"/>
      <c r="AU10" s="236" t="n"/>
      <c r="AV10" s="236" t="n"/>
      <c r="AW10" s="225" t="n"/>
      <c r="AX10" s="236" t="n"/>
      <c r="AY10" s="223" t="n"/>
      <c r="AZ10" s="236" t="n"/>
      <c r="BA10" s="225" t="n"/>
      <c r="BB10" s="236" t="n"/>
      <c r="BC10" s="225" t="n"/>
      <c r="BD10" s="236" t="n"/>
      <c r="BE10" s="236" t="n"/>
      <c r="BF10" s="236" t="n"/>
      <c r="BG10" s="236" t="n"/>
      <c r="BH10" s="236" t="n"/>
      <c r="BI10" s="236" t="n"/>
      <c r="BJ10" s="236" t="n"/>
      <c r="BK10" s="236" t="n"/>
      <c r="BL10" s="236" t="n"/>
      <c r="BM10" s="236" t="n"/>
      <c r="BN10" s="236" t="n"/>
      <c r="BO10" s="236" t="n"/>
      <c r="BP10" s="236" t="n"/>
      <c r="BQ10" s="236" t="n"/>
      <c r="BR10" s="236" t="n"/>
      <c r="BS10" s="236" t="n"/>
      <c r="BT10" s="236" t="n"/>
      <c r="BU10" s="236" t="n"/>
      <c r="BV10" s="236" t="n"/>
      <c r="BW10" s="236" t="n"/>
      <c r="BX10" s="236" t="n"/>
      <c r="BY10" s="236" t="n"/>
      <c r="BZ10" s="236" t="n"/>
      <c r="CA10" s="236" t="n"/>
      <c r="CB10" s="236" t="n"/>
      <c r="CC10" s="236" t="n"/>
      <c r="CD10" s="226" t="n"/>
      <c r="CE10" s="226" t="n"/>
      <c r="CF10" s="227" t="n"/>
      <c r="CG10" s="227" t="n"/>
      <c r="CH10" s="226" t="n"/>
      <c r="CI10" s="226" t="n"/>
      <c r="CJ10" s="226" t="n"/>
      <c r="CK10" s="226" t="n"/>
      <c r="CL10" s="223" t="n"/>
      <c r="CM10" s="226" t="n"/>
      <c r="CN10" s="226" t="n"/>
      <c r="CO10" s="226" t="n"/>
      <c r="CP10" s="226" t="n"/>
      <c r="CQ10" s="236" t="n"/>
      <c r="CR10" s="236" t="n"/>
      <c r="CS10" s="223" t="n"/>
      <c r="CT10" s="236" t="n"/>
      <c r="CU10" s="236" t="n"/>
      <c r="CV10" s="225" t="n"/>
      <c r="CW10" s="236" t="n"/>
      <c r="CX10" s="229" t="n"/>
      <c r="CY10" s="236" t="n"/>
      <c r="CZ10" s="236" t="n"/>
      <c r="DA10" s="236" t="n"/>
      <c r="DB10" s="236" t="n"/>
      <c r="DC10" s="236" t="n"/>
      <c r="DD10" s="236" t="n"/>
      <c r="DE10" s="236" t="n"/>
      <c r="DF10" s="236" t="n"/>
      <c r="DG10" s="236" t="n"/>
      <c r="DH10" s="236" t="n"/>
      <c r="DI10" s="236" t="n"/>
      <c r="DJ10" s="236" t="n"/>
      <c r="DK10" s="236" t="n"/>
      <c r="DL10" s="236" t="n"/>
      <c r="DM10" s="236" t="n"/>
      <c r="DN10" s="236" t="n"/>
      <c r="DO10" s="236" t="n"/>
      <c r="DP10" s="236" t="n"/>
      <c r="DQ10" s="236" t="n"/>
      <c r="DR10" s="236" t="n"/>
      <c r="DS10" s="236" t="n"/>
      <c r="DT10" s="236" t="n"/>
      <c r="DU10" s="236" t="n"/>
      <c r="DV10" s="236" t="n"/>
      <c r="DW10" s="236" t="n"/>
      <c r="DX10" s="236" t="n"/>
      <c r="DY10" s="236" t="n"/>
      <c r="DZ10" s="236" t="n"/>
      <c r="EA10" s="236" t="n"/>
      <c r="EB10" s="236" t="n"/>
      <c r="EC10" s="236" t="n"/>
      <c r="ED10" s="236" t="n"/>
      <c r="EE10" s="236" t="n"/>
      <c r="EF10" s="236" t="n"/>
      <c r="EG10" s="236" t="n"/>
      <c r="EH10" s="236" t="n"/>
      <c r="EI10" s="236" t="n"/>
      <c r="EJ10" s="236" t="n"/>
      <c r="EK10" s="230" t="n"/>
      <c r="EL10" s="335" t="n"/>
      <c r="EM10" s="335" t="n"/>
      <c r="EN10" s="335" t="n"/>
      <c r="EO10" s="335" t="n"/>
      <c r="EP10" s="335" t="n"/>
      <c r="EQ10" s="335" t="n"/>
      <c r="ER10" s="230" t="n"/>
      <c r="EU10" s="231" t="inlineStr">
        <is>
          <t>Toepassing</t>
        </is>
      </c>
      <c r="EV10" s="232" t="n"/>
      <c r="EW10" s="232" t="n"/>
      <c r="EX10" s="232" t="n"/>
      <c r="EY10" s="232" t="n"/>
      <c r="EZ10" s="232" t="n"/>
      <c r="FA10" s="232" t="n"/>
      <c r="FB10" s="232" t="n"/>
      <c r="FC10" s="232" t="n"/>
      <c r="FD10" s="233" t="n"/>
      <c r="FE10" s="213" t="n"/>
      <c r="FF10" s="235" t="n"/>
      <c r="FG10" s="236" t="n"/>
      <c r="FH10" s="236" t="n"/>
      <c r="FI10" s="236" t="n"/>
      <c r="FJ10" s="236" t="n"/>
      <c r="FK10" s="196" t="n"/>
      <c r="FM10" s="235" t="n"/>
      <c r="FN10" s="236" t="n"/>
      <c r="FO10" s="236" t="n"/>
      <c r="FP10" s="236" t="n"/>
      <c r="FQ10" s="236" t="n"/>
      <c r="FR10" s="196" t="n"/>
      <c r="FT10" s="235" t="n"/>
      <c r="FU10" s="236" t="n"/>
      <c r="FV10" s="236" t="n"/>
      <c r="FW10" s="236" t="n"/>
      <c r="FX10" s="236" t="n"/>
      <c r="FY10" s="196" t="n"/>
      <c r="GA10" s="235" t="n"/>
      <c r="GB10" s="236" t="n"/>
      <c r="GC10" s="236" t="n"/>
      <c r="GD10" s="236" t="n"/>
      <c r="GE10" s="236" t="n"/>
      <c r="GF10" s="196" t="n"/>
      <c r="GH10" s="235" t="n"/>
      <c r="GI10" s="236" t="n"/>
      <c r="GJ10" s="236" t="n"/>
      <c r="GK10" s="236" t="n"/>
      <c r="GL10" s="236" t="n"/>
      <c r="GM10" s="196" t="n"/>
      <c r="GO10" s="235" t="n"/>
      <c r="GP10" s="236" t="n"/>
      <c r="GQ10" s="236" t="n"/>
      <c r="GR10" s="236" t="n"/>
      <c r="GS10" s="236" t="n"/>
      <c r="GT10" s="196" t="n"/>
      <c r="GV10" s="235" t="n"/>
      <c r="GW10" s="236" t="n"/>
      <c r="GX10" s="236" t="n"/>
      <c r="GY10" s="236" t="n"/>
      <c r="GZ10" s="236" t="n"/>
      <c r="HA10" s="196" t="n"/>
      <c r="HC10" s="235" t="n"/>
      <c r="HD10" s="236" t="n"/>
      <c r="HE10" s="236" t="n"/>
      <c r="HF10" s="236" t="n"/>
      <c r="HG10" s="236" t="n"/>
      <c r="HH10" s="196" t="n"/>
      <c r="HJ10" s="235" t="n"/>
      <c r="HK10" s="236" t="n"/>
      <c r="HL10" s="236" t="n"/>
      <c r="HM10" s="236" t="n"/>
      <c r="HN10" s="236" t="n"/>
      <c r="HO10" s="196" t="n"/>
      <c r="HQ10" s="235" t="n"/>
      <c r="HR10" s="236" t="n"/>
      <c r="HS10" s="236" t="n"/>
      <c r="HT10" s="236" t="n"/>
      <c r="HU10" s="236" t="n"/>
      <c r="HV10" s="196" t="n"/>
      <c r="HX10" s="349" t="n"/>
    </row>
    <row r="11" s="189">
      <c r="A11" s="334" t="n"/>
      <c r="L11" s="237" t="n"/>
      <c r="AI11" s="140" t="n"/>
      <c r="AW11" s="141" t="n"/>
      <c r="AY11" s="238">
        <f>CELL("col",OH_kosten)</f>
        <v/>
      </c>
      <c r="BA11" s="141" t="n"/>
      <c r="BC11" s="141" t="n"/>
      <c r="BM11" s="239" t="inlineStr">
        <is>
          <t>Onderhoudstijden</t>
        </is>
      </c>
      <c r="BN11" s="240" t="n"/>
      <c r="BO11" s="240" t="n"/>
      <c r="BP11" s="241" t="n"/>
      <c r="BR11" s="242" t="inlineStr">
        <is>
          <t>reservedelen</t>
        </is>
      </c>
      <c r="BS11" s="243" t="n"/>
      <c r="BT11" s="243" t="n"/>
      <c r="BU11" s="243" t="n"/>
      <c r="BV11" s="243" t="n"/>
      <c r="BW11" s="243" t="n"/>
      <c r="BX11" s="243" t="n"/>
      <c r="BY11" s="244" t="n"/>
      <c r="CD11" s="142" t="n"/>
      <c r="CE11" s="142" t="n"/>
      <c r="CF11" s="143" t="n"/>
      <c r="CG11" s="143" t="n"/>
      <c r="CH11" s="142" t="n"/>
      <c r="CI11" s="142" t="n"/>
      <c r="CJ11" s="142" t="n"/>
      <c r="CK11" s="142" t="n"/>
      <c r="CL11" s="140" t="n"/>
      <c r="CM11" s="142" t="n"/>
      <c r="CN11" s="142" t="n"/>
      <c r="CO11" s="142" t="n"/>
      <c r="CP11" s="142" t="n"/>
      <c r="CS11" s="140" t="n"/>
      <c r="CV11" s="141" t="n"/>
      <c r="CX11" s="145" t="n"/>
      <c r="DX11" s="250">
        <f>CELL("col",cumm_ONB_missie)</f>
        <v/>
      </c>
      <c r="EG11" s="250">
        <f>CELL("col",cumm_ONB_aanvang)</f>
        <v/>
      </c>
      <c r="EI11" s="250">
        <f>CELL("col",Opmerkingen)</f>
        <v/>
      </c>
      <c r="EJ11" s="250" t="n"/>
      <c r="EK11" s="246" t="n"/>
      <c r="EM11" s="247" t="n"/>
      <c r="EN11" s="247" t="n"/>
      <c r="EO11" s="247" t="n"/>
      <c r="EP11" s="247" t="n"/>
      <c r="ER11" s="349" t="n"/>
      <c r="EU11" s="231" t="inlineStr">
        <is>
          <t>bij de</t>
        </is>
      </c>
      <c r="EV11" s="232" t="n"/>
      <c r="EW11" s="232" t="n"/>
      <c r="EX11" s="232" t="n"/>
      <c r="EY11" s="232" t="n"/>
      <c r="EZ11" s="232" t="n"/>
      <c r="FA11" s="232" t="n"/>
      <c r="FB11" s="232" t="n"/>
      <c r="FC11" s="232" t="n"/>
      <c r="FD11" s="233" t="n"/>
      <c r="FE11" s="213" t="n"/>
      <c r="FH11" s="249" t="n"/>
      <c r="FI11" s="250" t="n"/>
      <c r="FJ11" s="249" t="n"/>
      <c r="FK11" s="250" t="n"/>
      <c r="FO11" s="249" t="n"/>
      <c r="FP11" s="250" t="n"/>
      <c r="FQ11" s="249" t="n"/>
      <c r="FR11" s="250" t="n"/>
      <c r="FV11" s="249" t="n"/>
      <c r="FW11" s="250" t="n"/>
      <c r="FX11" s="249" t="n"/>
      <c r="FY11" s="250" t="n"/>
      <c r="GC11" s="249" t="n"/>
      <c r="GD11" s="250" t="n"/>
      <c r="GE11" s="249" t="n"/>
      <c r="GF11" s="250" t="n"/>
      <c r="GJ11" s="249" t="n"/>
      <c r="GK11" s="250" t="n"/>
      <c r="GL11" s="249" t="n"/>
      <c r="GM11" s="250" t="n"/>
      <c r="GQ11" s="249" t="n"/>
      <c r="GR11" s="250" t="n"/>
      <c r="GS11" s="249" t="n"/>
      <c r="GT11" s="250" t="n"/>
      <c r="GX11" s="249" t="n"/>
      <c r="GY11" s="250" t="n"/>
      <c r="GZ11" s="249" t="n"/>
      <c r="HA11" s="250" t="n"/>
      <c r="HE11" s="249" t="n"/>
      <c r="HF11" s="250" t="n"/>
      <c r="HG11" s="249" t="n"/>
      <c r="HH11" s="250" t="n"/>
      <c r="HL11" s="249" t="n"/>
      <c r="HM11" s="250" t="n"/>
      <c r="HN11" s="249" t="n"/>
      <c r="HO11" s="250" t="n"/>
      <c r="HS11" s="249" t="n"/>
      <c r="HT11" s="250" t="n"/>
      <c r="HU11" s="249" t="n"/>
      <c r="HV11" s="250" t="n"/>
      <c r="HX11" s="349" t="n"/>
    </row>
    <row r="12" ht="12.75" customHeight="1" s="189">
      <c r="A12" s="334" t="n"/>
      <c r="B12" s="251" t="n"/>
      <c r="C12" s="252" t="n"/>
      <c r="D12" s="252" t="n"/>
      <c r="E12" s="252" t="n"/>
      <c r="F12" s="252" t="n"/>
      <c r="G12" s="252" t="n"/>
      <c r="H12" s="252" t="n"/>
      <c r="I12" s="252" t="n"/>
      <c r="J12" s="252" t="n"/>
      <c r="K12" s="252" t="n"/>
      <c r="L12" s="253" t="inlineStr">
        <is>
          <t>Fysieke decompositie</t>
        </is>
      </c>
      <c r="M12" s="254" t="n"/>
      <c r="N12" s="255" t="n"/>
      <c r="O12" s="256" t="n"/>
      <c r="P12" s="400" t="inlineStr">
        <is>
          <t>Periodiek Onderhoud</t>
        </is>
      </c>
      <c r="Q12" s="272" t="n"/>
      <c r="R12" s="272" t="n"/>
      <c r="S12" s="272" t="n"/>
      <c r="T12" s="272" t="n"/>
      <c r="U12" s="273" t="n"/>
      <c r="V12" s="260" t="n"/>
      <c r="W12" s="400" t="inlineStr">
        <is>
          <t>TAO</t>
        </is>
      </c>
      <c r="X12" s="401" t="n"/>
      <c r="Y12" s="260" t="n"/>
      <c r="Z12" s="271" t="inlineStr">
        <is>
          <t>Correctief</t>
        </is>
      </c>
      <c r="AA12" s="263" t="n"/>
      <c r="AB12" s="264" t="n"/>
      <c r="AC12" s="213" t="n"/>
      <c r="AD12" s="265" t="n"/>
      <c r="AE12" s="396" t="n"/>
      <c r="AF12" s="267" t="n"/>
      <c r="AG12" s="443" t="n"/>
      <c r="AH12" s="443" t="n"/>
      <c r="AI12" s="269" t="inlineStr">
        <is>
          <t>Frequentie</t>
        </is>
      </c>
      <c r="AJ12" s="270" t="n"/>
      <c r="AL12" s="271" t="inlineStr">
        <is>
          <t>Uitvoering</t>
        </is>
      </c>
      <c r="AM12" s="272" t="n"/>
      <c r="AN12" s="273" t="n"/>
      <c r="AO12" s="274" t="n"/>
      <c r="AP12" s="271" t="inlineStr">
        <is>
          <t>te besteden tijd (uur)</t>
        </is>
      </c>
      <c r="AQ12" s="272" t="n"/>
      <c r="AR12" s="272" t="n"/>
      <c r="AS12" s="272" t="n"/>
      <c r="AT12" s="272" t="n"/>
      <c r="AU12" s="273" t="n"/>
      <c r="AV12" s="443" t="n"/>
      <c r="AW12" s="275" t="n"/>
      <c r="AX12" s="450" t="n"/>
      <c r="AY12" s="277" t="n"/>
      <c r="AZ12" s="450" t="n"/>
      <c r="BA12" s="278" t="n"/>
      <c r="BB12" s="450" t="n"/>
      <c r="BC12" s="279" t="n"/>
      <c r="BD12" s="450" t="n"/>
      <c r="BE12" s="280" t="n"/>
      <c r="BF12" s="450" t="n"/>
      <c r="BG12" s="281" t="n"/>
      <c r="BH12" s="450" t="n"/>
      <c r="BI12" s="282" t="n"/>
      <c r="BJ12" s="450" t="n"/>
      <c r="BK12" s="283" t="n"/>
      <c r="BL12" s="450" t="n"/>
      <c r="BM12" s="284" t="inlineStr">
        <is>
          <t>PO</t>
        </is>
      </c>
      <c r="BN12" s="285" t="inlineStr">
        <is>
          <t>TAO</t>
        </is>
      </c>
      <c r="BO12" s="271" t="inlineStr">
        <is>
          <t>CO</t>
        </is>
      </c>
      <c r="BP12" s="273" t="n"/>
      <c r="BQ12" s="286" t="n"/>
      <c r="BR12" s="271" t="inlineStr">
        <is>
          <t>Logistieke tijden</t>
        </is>
      </c>
      <c r="BS12" s="272" t="n"/>
      <c r="BT12" s="273" t="n"/>
      <c r="BU12" s="287" t="n"/>
      <c r="BV12" s="271" t="inlineStr">
        <is>
          <t>voorraad</t>
        </is>
      </c>
      <c r="BW12" s="263" t="n"/>
      <c r="BX12" s="263" t="n"/>
      <c r="BY12" s="264" t="n"/>
      <c r="CA12" s="288" t="inlineStr">
        <is>
          <t>storingsfrequentie, gebruikstijd</t>
        </is>
      </c>
      <c r="CB12" s="289" t="n"/>
      <c r="CC12" s="289" t="n"/>
      <c r="CD12" s="289" t="n"/>
      <c r="CE12" s="290" t="n"/>
      <c r="CF12" s="289" t="inlineStr">
        <is>
          <t>storingsfrequentie, kalendertijd</t>
        </is>
      </c>
      <c r="CG12" s="289" t="n"/>
      <c r="CH12" s="289" t="n"/>
      <c r="CI12" s="290" t="n"/>
      <c r="CJ12" s="288" t="inlineStr">
        <is>
          <t>storingsfrequentie, totaal</t>
        </is>
      </c>
      <c r="CK12" s="289" t="n"/>
      <c r="CL12" s="289" t="n"/>
      <c r="CM12" s="290" t="n"/>
      <c r="CN12" s="290" t="n"/>
      <c r="CO12" s="290" t="n"/>
      <c r="CP12" s="290" t="n"/>
      <c r="CR12" s="291" t="n"/>
      <c r="CS12" s="292" t="n"/>
      <c r="CT12" s="293" t="n"/>
      <c r="CU12" s="291" t="n"/>
      <c r="CV12" s="279" t="n"/>
      <c r="CW12" s="291" t="n"/>
      <c r="CX12" s="294" t="n"/>
      <c r="CY12" s="281" t="n"/>
      <c r="CZ12" s="281" t="n"/>
      <c r="DB12" s="281" t="n"/>
      <c r="DD12" s="295" t="inlineStr">
        <is>
          <t>Maximale doorlooptijd  tijdens missie t.g.v. CO</t>
        </is>
      </c>
      <c r="DE12" s="296" t="n"/>
      <c r="DF12" s="296" t="n"/>
      <c r="DG12" s="296" t="n"/>
      <c r="DH12" s="296" t="n"/>
      <c r="DI12" s="296" t="n"/>
      <c r="DJ12" s="297" t="n"/>
      <c r="DL12" s="295" t="inlineStr">
        <is>
          <t>Maximale doorlooptijd aan wal t.g.v. CO</t>
        </is>
      </c>
      <c r="DM12" s="296" t="n"/>
      <c r="DN12" s="296" t="n"/>
      <c r="DO12" s="296" t="n"/>
      <c r="DP12" s="296" t="n"/>
      <c r="DQ12" s="296" t="n"/>
      <c r="DR12" s="297" t="n"/>
      <c r="DT12" s="281" t="n"/>
      <c r="DU12" s="281" t="n"/>
      <c r="DV12" s="281" t="n"/>
      <c r="DW12" s="281" t="n"/>
      <c r="DX12" s="281" t="n"/>
      <c r="DZ12" s="281" t="n"/>
      <c r="EA12" s="281" t="n"/>
      <c r="EB12" s="281" t="n"/>
      <c r="EC12" s="281" t="n"/>
      <c r="ED12" s="281" t="n"/>
      <c r="EE12" s="281" t="n"/>
      <c r="EF12" s="281" t="n"/>
      <c r="EG12" s="281" t="n"/>
      <c r="EI12" s="298" t="n"/>
      <c r="EK12" s="349" t="n"/>
      <c r="EM12" s="51" t="n"/>
      <c r="EN12" s="51" t="n"/>
      <c r="EO12" s="51" t="n"/>
      <c r="EP12" s="51" t="n"/>
      <c r="EQ12" s="51" t="n"/>
      <c r="ER12" s="349" t="n"/>
      <c r="EU12" s="299" t="inlineStr">
        <is>
          <t>functie:</t>
        </is>
      </c>
      <c r="EV12" s="300" t="n"/>
      <c r="EW12" s="300" t="n"/>
      <c r="EX12" s="300" t="n"/>
      <c r="EY12" s="300" t="n"/>
      <c r="EZ12" s="300" t="n"/>
      <c r="FA12" s="300" t="n"/>
      <c r="FB12" s="300" t="n"/>
      <c r="FC12" s="300" t="n"/>
      <c r="FD12" s="301" t="n"/>
      <c r="FE12" s="213" t="n"/>
      <c r="FF12" s="281" t="n"/>
      <c r="FG12" s="281" t="n"/>
      <c r="FH12" s="281" t="n"/>
      <c r="FI12" s="281" t="n"/>
      <c r="FJ12" s="281" t="n"/>
      <c r="FK12" s="281" t="n"/>
      <c r="FM12" s="281" t="n"/>
      <c r="FN12" s="281" t="n"/>
      <c r="FO12" s="281" t="n"/>
      <c r="FP12" s="281" t="n"/>
      <c r="FQ12" s="281" t="n"/>
      <c r="FR12" s="281" t="n"/>
      <c r="FT12" s="281" t="n"/>
      <c r="FU12" s="281" t="n"/>
      <c r="FV12" s="281" t="n"/>
      <c r="FW12" s="281" t="n"/>
      <c r="FX12" s="281" t="n"/>
      <c r="FY12" s="281" t="n"/>
      <c r="GA12" s="281" t="n"/>
      <c r="GB12" s="281" t="n"/>
      <c r="GC12" s="281" t="n"/>
      <c r="GD12" s="281" t="n"/>
      <c r="GE12" s="281" t="n"/>
      <c r="GF12" s="281" t="n"/>
      <c r="GH12" s="281" t="n"/>
      <c r="GI12" s="281" t="n"/>
      <c r="GJ12" s="281" t="n"/>
      <c r="GK12" s="281" t="n"/>
      <c r="GL12" s="281" t="n"/>
      <c r="GM12" s="281" t="n"/>
      <c r="GO12" s="281" t="n"/>
      <c r="GP12" s="281" t="n"/>
      <c r="GQ12" s="281" t="n"/>
      <c r="GR12" s="281" t="n"/>
      <c r="GS12" s="281" t="n"/>
      <c r="GT12" s="281" t="n"/>
      <c r="GV12" s="281" t="n"/>
      <c r="GW12" s="281" t="n"/>
      <c r="GX12" s="281" t="n"/>
      <c r="GY12" s="281" t="n"/>
      <c r="GZ12" s="281" t="n"/>
      <c r="HA12" s="281" t="n"/>
      <c r="HC12" s="281" t="n"/>
      <c r="HD12" s="281" t="n"/>
      <c r="HE12" s="281" t="n"/>
      <c r="HF12" s="281" t="n"/>
      <c r="HG12" s="281" t="n"/>
      <c r="HH12" s="281" t="n"/>
      <c r="HJ12" s="281" t="n"/>
      <c r="HK12" s="281" t="n"/>
      <c r="HL12" s="281" t="n"/>
      <c r="HM12" s="281" t="n"/>
      <c r="HN12" s="281" t="n"/>
      <c r="HO12" s="281" t="n"/>
      <c r="HQ12" s="281" t="n"/>
      <c r="HR12" s="281" t="n"/>
      <c r="HS12" s="281" t="n"/>
      <c r="HT12" s="281" t="n"/>
      <c r="HU12" s="281" t="n"/>
      <c r="HV12" s="281" t="n"/>
      <c r="HX12" s="349" t="n"/>
    </row>
    <row r="13" ht="163.5" customHeight="1" s="189">
      <c r="A13" s="334" t="n"/>
      <c r="B13" s="302" t="n"/>
      <c r="C13" s="303" t="n"/>
      <c r="D13" s="303" t="n"/>
      <c r="E13" s="303" t="n"/>
      <c r="F13" s="303" t="n"/>
      <c r="G13" s="303" t="n"/>
      <c r="H13" s="303" t="n"/>
      <c r="I13" s="303" t="n"/>
      <c r="J13" s="303" t="n"/>
      <c r="K13" s="303" t="n"/>
      <c r="L13" s="304" t="n"/>
      <c r="M13" s="305" t="inlineStr">
        <is>
          <t>Vermenigvuldigingsfactor onderhoudsactie (aantal componenten)</t>
        </is>
      </c>
      <c r="N13" s="305" t="inlineStr">
        <is>
          <t>Redundantie (J/N)</t>
        </is>
      </c>
      <c r="O13" s="256" t="n"/>
      <c r="P13" s="306" t="inlineStr">
        <is>
          <t>Inspectie (visueel)</t>
        </is>
      </c>
      <c r="Q13" s="306" t="inlineStr">
        <is>
          <t>Inspectie (Meten)</t>
        </is>
      </c>
      <c r="R13" s="306" t="inlineStr">
        <is>
          <t>Preservering</t>
        </is>
      </c>
      <c r="S13" s="306" t="inlineStr">
        <is>
          <t>Revisie</t>
        </is>
      </c>
      <c r="T13" s="306" t="inlineStr">
        <is>
          <t xml:space="preserve">Vervanging </t>
        </is>
      </c>
      <c r="U13" s="307" t="inlineStr">
        <is>
          <t>Testen</t>
        </is>
      </c>
      <c r="V13" s="260" t="n"/>
      <c r="W13" s="306" t="inlineStr">
        <is>
          <t>Revisie</t>
        </is>
      </c>
      <c r="X13" s="307" t="inlineStr">
        <is>
          <t xml:space="preserve">Vervanging </t>
        </is>
      </c>
      <c r="Y13" s="260" t="n"/>
      <c r="Z13" s="306" t="inlineStr">
        <is>
          <t>Reparatie (door boordspersoneel)</t>
        </is>
      </c>
      <c r="AA13" s="306" t="inlineStr">
        <is>
          <t>Vervanging</t>
        </is>
      </c>
      <c r="AB13" s="307" t="inlineStr">
        <is>
          <t>S.A.O.? (Ja / Nee)</t>
        </is>
      </c>
      <c r="AC13" s="213" t="n"/>
      <c r="AD13" s="308" t="inlineStr">
        <is>
          <t xml:space="preserve">              Omschrijving</t>
        </is>
      </c>
      <c r="AE13" s="119" t="n"/>
      <c r="AF13" s="309" t="inlineStr">
        <is>
          <t>Taak-ID</t>
        </is>
      </c>
      <c r="AG13" s="443" t="n"/>
      <c r="AH13" s="443" t="n"/>
      <c r="AI13" s="310" t="inlineStr">
        <is>
          <t>Frequentie</t>
        </is>
      </c>
      <c r="AJ13" s="311" t="inlineStr">
        <is>
          <t>d / w / m / j</t>
        </is>
      </c>
      <c r="AL13" s="312" t="inlineStr">
        <is>
          <t>Voor verhuur</t>
        </is>
      </c>
      <c r="AM13" s="313" t="inlineStr">
        <is>
          <t>Tijdens fietstocht</t>
        </is>
      </c>
      <c r="AN13" s="313" t="inlineStr">
        <is>
          <t>Alleen in groot onderhoud</t>
        </is>
      </c>
      <c r="AO13" s="314" t="n"/>
      <c r="AP13" s="313" t="inlineStr">
        <is>
          <t>Verhuurder</t>
        </is>
      </c>
      <c r="AQ13" s="313" t="inlineStr">
        <is>
          <t>Huurder</t>
        </is>
      </c>
      <c r="AR13" s="313" t="inlineStr">
        <is>
          <t>Monteur</t>
        </is>
      </c>
      <c r="AS13" s="313" t="inlineStr">
        <is>
          <t>RIJKSWERF</t>
        </is>
      </c>
      <c r="AT13" s="313" t="inlineStr">
        <is>
          <t>DIENST</t>
        </is>
      </c>
      <c r="AU13" s="313" t="inlineStr">
        <is>
          <t>DERDEN</t>
        </is>
      </c>
      <c r="AV13" s="443" t="n"/>
      <c r="AW13" s="315" t="inlineStr">
        <is>
          <t>Vaste kosten per keer</t>
        </is>
      </c>
      <c r="AX13" s="316" t="n"/>
      <c r="AY13" s="317" t="inlineStr">
        <is>
          <t>OH-kosten per jaar</t>
        </is>
      </c>
      <c r="AZ13" s="316" t="n"/>
      <c r="BA13" s="318" t="inlineStr">
        <is>
          <t>Kosten reservedelen per keer</t>
        </is>
      </c>
      <c r="BC13" s="319" t="inlineStr">
        <is>
          <t>Kosten reservedelen per jaar</t>
        </is>
      </c>
      <c r="BE13" s="305" t="inlineStr">
        <is>
          <t>Kosten reservedelen per jaar
volgens "Trade-off"</t>
        </is>
      </c>
      <c r="BF13" s="316" t="n"/>
      <c r="BG13" s="320" t="inlineStr">
        <is>
          <t>Kosten reservedelen per jaar
(nog hiden)</t>
        </is>
      </c>
      <c r="BH13" s="316" t="n"/>
      <c r="BI13" s="321" t="inlineStr">
        <is>
          <t>Gevolgkosten per keer
buiten de installatie</t>
        </is>
      </c>
      <c r="BJ13" s="316" t="n"/>
      <c r="BK13" s="322" t="inlineStr">
        <is>
          <t>Gevolgkosten per jaar</t>
        </is>
      </c>
      <c r="BL13" s="316" t="n"/>
      <c r="BM13" s="305" t="inlineStr">
        <is>
          <t>Doorlooptijd</t>
        </is>
      </c>
      <c r="BN13" s="305" t="inlineStr">
        <is>
          <t>Revisie/Vervangingstijd</t>
        </is>
      </c>
      <c r="BO13" s="305" t="inlineStr">
        <is>
          <t>Zoektijd</t>
        </is>
      </c>
      <c r="BP13" s="305" t="inlineStr">
        <is>
          <t>Reparatie/Vervangingstijd</t>
        </is>
      </c>
      <c r="BQ13" s="286" t="n"/>
      <c r="BR13" s="305" t="inlineStr">
        <is>
          <t>Wachttijd tijdens fietstocht
met transport</t>
        </is>
      </c>
      <c r="BS13" s="305" t="inlineStr">
        <is>
          <t>Besteltijd leverancier of
hersteltijd onderhoudsdienst</t>
        </is>
      </c>
      <c r="BT13" s="305" t="inlineStr">
        <is>
          <t>Wachttijd in stalling</t>
        </is>
      </c>
      <c r="BV13" s="305" t="inlineStr">
        <is>
          <t>Aantal reservedelen tijdens fietstocht</t>
        </is>
      </c>
      <c r="BW13" s="305" t="inlineStr">
        <is>
          <t>Initiele reservevoorraad in stalling</t>
        </is>
      </c>
      <c r="BX13" s="305" t="inlineStr">
        <is>
          <t>Maximum aantal reservedelen in stalling (na bestelling)</t>
        </is>
      </c>
      <c r="BY13" s="305" t="inlineStr">
        <is>
          <t>Minimum aantal reservedelen
in stalling (herstel/bestelnivo)</t>
        </is>
      </c>
      <c r="CA13" s="323" t="inlineStr">
        <is>
          <t>lambda component fabrikant</t>
        </is>
      </c>
      <c r="CB13" s="323" t="inlineStr">
        <is>
          <t>Percentage
gebruikstijd tijdens missie</t>
        </is>
      </c>
      <c r="CC13" s="323" t="inlineStr">
        <is>
          <t>Percentage
gebruikstijd tijdens walbedrijf</t>
        </is>
      </c>
      <c r="CD13" s="324" t="inlineStr">
        <is>
          <t>Lambda component missie, 
gebruikstijd</t>
        </is>
      </c>
      <c r="CE13" s="324" t="inlineStr">
        <is>
          <t>Lambda component wal,
gebruikstijd</t>
        </is>
      </c>
      <c r="CF13" s="325" t="inlineStr">
        <is>
          <t>Lambda component, kalendertijd</t>
        </is>
      </c>
      <c r="CG13" s="323" t="inlineStr">
        <is>
          <t>Percentage storingen missiegerelateerd,
kalendertijd</t>
        </is>
      </c>
      <c r="CH13" s="324" t="inlineStr">
        <is>
          <t>Lambda component missie, 
kalendertijd</t>
        </is>
      </c>
      <c r="CI13" s="324" t="inlineStr">
        <is>
          <t>Lambda component wal,
kalendertijd</t>
        </is>
      </c>
      <c r="CJ13" s="325" t="inlineStr">
        <is>
          <t>Lambda component</t>
        </is>
      </c>
      <c r="CK13" s="325" t="inlineStr">
        <is>
          <t>m componenten * lambda component</t>
        </is>
      </c>
      <c r="CL13" s="326" t="inlineStr">
        <is>
          <t>redundantiefactor</t>
        </is>
      </c>
      <c r="CM13" s="325" t="inlineStr">
        <is>
          <t>Lambda functie missie, per missieuur</t>
        </is>
      </c>
      <c r="CN13" s="325" t="inlineStr">
        <is>
          <t>Lambda functie missie, per kalenderuur</t>
        </is>
      </c>
      <c r="CO13" s="325" t="inlineStr">
        <is>
          <t>Lambda functie wal, per waluur</t>
        </is>
      </c>
      <c r="CP13" s="325" t="inlineStr">
        <is>
          <t>Lambda functie wal, per kalenderuur</t>
        </is>
      </c>
      <c r="CR13" s="320" t="inlineStr">
        <is>
          <t>m componenten (aan boord)</t>
        </is>
      </c>
      <c r="CS13" s="327" t="inlineStr">
        <is>
          <t>Kans opraken reservevoorraad aan boord tijdens missie
(gegeven huidige reservevoorraad)</t>
        </is>
      </c>
      <c r="CT13" s="328" t="n"/>
      <c r="CU13" s="320" t="inlineStr">
        <is>
          <t>m componenten vloot</t>
        </is>
      </c>
      <c r="CV13" s="329" t="inlineStr">
        <is>
          <t>periode tot aan eerste bestelling (initiele periode)</t>
        </is>
      </c>
      <c r="CW13" s="320" t="inlineStr">
        <is>
          <t>gemiddelde tijd dat de voorraad slinkt van Max naar Min (bestelinterval)</t>
        </is>
      </c>
      <c r="CX13" s="330" t="inlineStr">
        <is>
          <t>% van de looptijd dat reservedelen in bestelling zijn</t>
        </is>
      </c>
      <c r="CY13" s="320" t="inlineStr">
        <is>
          <t>Kans opraken reservevoorraad vloot plus wal t.b.v. missie of onmiddellijke inzetbaarheid</t>
        </is>
      </c>
      <c r="CZ13" s="320" t="inlineStr">
        <is>
          <t xml:space="preserve">Kans opraken boordvoorraad + reservevoorraad wal </t>
        </is>
      </c>
      <c r="DB13" s="320" t="inlineStr">
        <is>
          <t>VNB (uren) tgv. PO / TAO tijdens missie</t>
        </is>
      </c>
      <c r="DD13" s="331" t="inlineStr">
        <is>
          <t xml:space="preserve">CO reparatie </t>
        </is>
      </c>
      <c r="DE13" s="331" t="inlineStr">
        <is>
          <t>CO vervanging 
(reservedelen aan boord)</t>
        </is>
      </c>
      <c r="DF13" s="331" t="inlineStr">
        <is>
          <t>CO vervanging 
(reservedelen transport van waldepot tot schip)</t>
        </is>
      </c>
      <c r="DG13" s="331" t="inlineStr">
        <is>
          <t>CO vervanging 
(bestellen/herstellen + transport)</t>
        </is>
      </c>
      <c r="DH13" s="331" t="inlineStr">
        <is>
          <t>CO vervanging
(gewogen met kans afwezigheid reservedelen)</t>
        </is>
      </c>
      <c r="DI13" s="331" t="inlineStr">
        <is>
          <t>Doorlooptijd missie inschatting</t>
        </is>
      </c>
      <c r="DJ13" s="331" t="inlineStr">
        <is>
          <t>Doorlooptijd missie door
CO vervanging of reparatie</t>
        </is>
      </c>
      <c r="DL13" s="331" t="inlineStr">
        <is>
          <t xml:space="preserve">CO reparatie </t>
        </is>
      </c>
      <c r="DM13" s="331" t="inlineStr">
        <is>
          <t>CO vervanging 
(reservedelen van wal halen)</t>
        </is>
      </c>
      <c r="DN13" s="331" t="inlineStr">
        <is>
          <t>CO vervanging
(reservedelen transport)</t>
        </is>
      </c>
      <c r="DO13" s="331" t="inlineStr">
        <is>
          <t>CO vervanging 
(bestellen/herstellen + van wal halen)</t>
        </is>
      </c>
      <c r="DP13" s="331" t="inlineStr">
        <is>
          <t>CO vervanging
(gewogen met kans afwezigheid reservedelen)</t>
        </is>
      </c>
      <c r="DQ13" s="331" t="inlineStr">
        <is>
          <t>Doorlooptijd wal inschatting</t>
        </is>
      </c>
      <c r="DR13" s="331" t="inlineStr">
        <is>
          <t>Doorlooptijd walbedrijf door
vervanging of reparatie</t>
        </is>
      </c>
      <c r="DT13" s="320" t="inlineStr">
        <is>
          <t>ONB schip tijdens missie
(gegeven systeem is beschik-
baar bij aanvang missie)</t>
        </is>
      </c>
      <c r="DU13" s="320" t="inlineStr">
        <is>
          <t>ONB_missie_tussenberekening_1</t>
        </is>
      </c>
      <c r="DV13" s="320" t="inlineStr">
        <is>
          <t>ONB_missie_tussenberekening_2</t>
        </is>
      </c>
      <c r="DW13" s="320" t="inlineStr">
        <is>
          <t>Percentage van totale
ONB tijdens missie</t>
        </is>
      </c>
      <c r="DX13" s="320" t="inlineStr">
        <is>
          <t>Cumulatieve
ONB schip tijdens missie
(gegeven systeem is beschik-
baar bij aanvang missie)</t>
        </is>
      </c>
      <c r="DZ13" s="320" t="inlineStr">
        <is>
          <t>ONB schip bij aanvang missie
(kans dat installatie niet beschikbaar is bij aanvang missie)</t>
        </is>
      </c>
      <c r="EA13" s="320" t="inlineStr">
        <is>
          <t>ONB_aanvang_tussenberekening_1
ONB t.g.v. alleen herstellen tijdens GO, storing tijdens missie / walbedrijf</t>
        </is>
      </c>
      <c r="EB13" s="320" t="inlineStr">
        <is>
          <t xml:space="preserve">ONB_aanvang_tussenberekening_2: 
ONB t.g.v. uitvoeren kortdurende / langdurende reparatie, storing tijdens missie/walbedrijf </t>
        </is>
      </c>
      <c r="EC13" s="320" t="inlineStr">
        <is>
          <t>ONB_aanvang_tussenberekening_3
ONB t.g.v. langdurende vervanging,storing tijdens missie</t>
        </is>
      </c>
      <c r="ED13" s="320" t="inlineStr">
        <is>
          <t>ONB_aanvang_tussenberekening_4:
ONB t.g.v. langdurende vervanging, storing tijdens walbedrijf</t>
        </is>
      </c>
      <c r="EE13" s="320" t="inlineStr">
        <is>
          <t>ONB_aanvang_tussenberekening_5
Momentane ONB, t.g.v. kortdurende vervanging, storing tijdens walbedrijf</t>
        </is>
      </c>
      <c r="EF13" s="320" t="inlineStr">
        <is>
          <t>Percentage van totale
ONB schip bij aanvang missie</t>
        </is>
      </c>
      <c r="EG13" s="320" t="inlineStr">
        <is>
          <t>Cumulatieve ONB schip
bij aanvang missie</t>
        </is>
      </c>
      <c r="EI13" s="332" t="inlineStr">
        <is>
          <t>Opmerkingen</t>
        </is>
      </c>
      <c r="EK13" s="349" t="n"/>
      <c r="EM13" s="51" t="n"/>
      <c r="EN13" s="51" t="n"/>
      <c r="EO13" s="51" t="n"/>
      <c r="EP13" s="51" t="n"/>
      <c r="EQ13" s="51" t="n"/>
      <c r="ER13" s="349" t="n"/>
      <c r="EU13" s="333">
        <f>IF(Invoer!L24="","",Invoer!L24)</f>
        <v/>
      </c>
      <c r="EV13" s="333">
        <f>IF(Invoer!L25="","",Invoer!L25)</f>
        <v/>
      </c>
      <c r="EW13" s="333">
        <f>IF(Invoer!L26="","",Invoer!L26)</f>
        <v/>
      </c>
      <c r="EX13" s="333">
        <f>IF(Invoer!L27="","",Invoer!L27)</f>
        <v/>
      </c>
      <c r="EY13" s="333">
        <f>IF(Invoer!L28="","",Invoer!L28)</f>
        <v/>
      </c>
      <c r="EZ13" s="333">
        <f>IF(Invoer!L29="","",Invoer!L29)</f>
        <v/>
      </c>
      <c r="FA13" s="333">
        <f>IF(Invoer!L30="","",Invoer!L30)</f>
        <v/>
      </c>
      <c r="FB13" s="333">
        <f>IF(Invoer!L31="","",Invoer!L31)</f>
        <v/>
      </c>
      <c r="FC13" s="333">
        <f>IF(Invoer!L32="","",Invoer!L32)</f>
        <v/>
      </c>
      <c r="FD13" s="333">
        <f>IF(Invoer!L33="","",Invoer!L33)</f>
        <v/>
      </c>
      <c r="FF13" s="320" t="inlineStr">
        <is>
          <t>Storingsfrequentie
(m componenten * lambda)</t>
        </is>
      </c>
      <c r="FG13" s="320" t="inlineStr">
        <is>
          <t>Lambda functie</t>
        </is>
      </c>
      <c r="FH13" s="320" t="inlineStr">
        <is>
          <t>ONB schip tijdens missie
(gegeven systeem is beschik-
baar bij aanvang missie)</t>
        </is>
      </c>
      <c r="FI13" s="320" t="inlineStr">
        <is>
          <t>Cumulatieve
ONB schip tijdens missie
(gegeven systeem is beschik-
baar bij aanvang missie)</t>
        </is>
      </c>
      <c r="FJ13" s="320" t="inlineStr">
        <is>
          <t>ONB schip bij aanvang missie
(kans dat functie niet beschikbaar is bij aanvang missie)</t>
        </is>
      </c>
      <c r="FK13" s="320" t="inlineStr">
        <is>
          <t>Cumulatieve ONB schip
bij aanvang missie</t>
        </is>
      </c>
      <c r="FM13" s="320" t="inlineStr">
        <is>
          <t>Storingsfrequentie
(m componenten * lambda)</t>
        </is>
      </c>
      <c r="FN13" s="320" t="inlineStr">
        <is>
          <t>Lambda functie</t>
        </is>
      </c>
      <c r="FO13" s="320" t="inlineStr">
        <is>
          <t>ONB schip tijdens missie
(gegeven systeem is beschik-
baar bij aanvang missie)</t>
        </is>
      </c>
      <c r="FP13" s="320" t="inlineStr">
        <is>
          <t>Cumulatieve
ONB schip tijdens missie
(gegeven systeem is beschik-
baar bij aanvang missie)</t>
        </is>
      </c>
      <c r="FQ13" s="320" t="inlineStr">
        <is>
          <t>ONB schip bij aanvang missie
(kans dat functie niet beschikbaar is bij aanvang missie)</t>
        </is>
      </c>
      <c r="FR13" s="320" t="inlineStr">
        <is>
          <t>Cumulatieve ONB schip
bij aanvang missie</t>
        </is>
      </c>
      <c r="FT13" s="320" t="inlineStr">
        <is>
          <t>Storingsfrequentie
(m componenten * lambda)</t>
        </is>
      </c>
      <c r="FU13" s="320" t="inlineStr">
        <is>
          <t>Lambda functie</t>
        </is>
      </c>
      <c r="FV13" s="320" t="inlineStr">
        <is>
          <t>ONB schip tijdens missie
(gegeven systeem is beschik-
baar bij aanvang missie)</t>
        </is>
      </c>
      <c r="FW13" s="320" t="inlineStr">
        <is>
          <t>Cumulatieve
ONB schip tijdens missie
(gegeven systeem is beschik-
baar bij aanvang missie)</t>
        </is>
      </c>
      <c r="FX13" s="320" t="inlineStr">
        <is>
          <t>ONB schip bij aanvang missie
(kans dat functie niet beschikbaar is bij aanvang missie)</t>
        </is>
      </c>
      <c r="FY13" s="320" t="inlineStr">
        <is>
          <t>Cumulatieve ONB schip
bij aanvang missie</t>
        </is>
      </c>
      <c r="GA13" s="320" t="inlineStr">
        <is>
          <t>Storingsfrequentie
(m componenten * lambda)</t>
        </is>
      </c>
      <c r="GB13" s="320" t="inlineStr">
        <is>
          <t>Lambda functie</t>
        </is>
      </c>
      <c r="GC13" s="320" t="inlineStr">
        <is>
          <t>ONB schip tijdens missie
(gegeven systeem is beschik-
baar bij aanvang missie)</t>
        </is>
      </c>
      <c r="GD13" s="320" t="inlineStr">
        <is>
          <t>Cumulatieve
ONB schip tijdens missie
(gegeven systeem is beschik-
baar bij aanvang missie)</t>
        </is>
      </c>
      <c r="GE13" s="320" t="inlineStr">
        <is>
          <t>ONB schip bij aanvang missie
(kans dat functie niet beschikbaar is bij aanvang missie)</t>
        </is>
      </c>
      <c r="GF13" s="320" t="inlineStr">
        <is>
          <t>Cumulatieve ONB schip
bij aanvang missie</t>
        </is>
      </c>
      <c r="GH13" s="320" t="inlineStr">
        <is>
          <t>Storingsfrequentie
(m componenten * lambda)</t>
        </is>
      </c>
      <c r="GI13" s="320" t="inlineStr">
        <is>
          <t>Lambda functie</t>
        </is>
      </c>
      <c r="GJ13" s="320" t="inlineStr">
        <is>
          <t>ONB schip tijdens missie
(gegeven systeem is beschik-
baar bij aanvang missie)</t>
        </is>
      </c>
      <c r="GK13" s="320" t="inlineStr">
        <is>
          <t>Cumulatieve
ONB schip tijdens missie
(gegeven systeem is beschik-
baar bij aanvang missie)</t>
        </is>
      </c>
      <c r="GL13" s="320" t="inlineStr">
        <is>
          <t>ONB schip bij aanvang missie
(kans dat functie niet beschikbaar is bij aanvang missie)</t>
        </is>
      </c>
      <c r="GM13" s="320" t="inlineStr">
        <is>
          <t>Cumulatieve ONB schip
bij aanvang missie</t>
        </is>
      </c>
      <c r="GO13" s="320" t="inlineStr">
        <is>
          <t>Storingsfrequentie
(m componenten * lambda)</t>
        </is>
      </c>
      <c r="GP13" s="320" t="inlineStr">
        <is>
          <t>Lambda functie</t>
        </is>
      </c>
      <c r="GQ13" s="320" t="inlineStr">
        <is>
          <t>ONB schip tijdens missie
(gegeven systeem is beschik-
baar bij aanvang missie)</t>
        </is>
      </c>
      <c r="GR13" s="320" t="inlineStr">
        <is>
          <t>Cumulatieve
ONB schip tijdens missie
(gegeven systeem is beschik-
baar bij aanvang missie)</t>
        </is>
      </c>
      <c r="GS13" s="320" t="inlineStr">
        <is>
          <t>ONB schip bij aanvang missie
(kans dat functie niet beschikbaar is bij aanvang missie)</t>
        </is>
      </c>
      <c r="GT13" s="320" t="inlineStr">
        <is>
          <t>Cumulatieve ONB schip
bij aanvang missie</t>
        </is>
      </c>
      <c r="GV13" s="320" t="inlineStr">
        <is>
          <t>Storingsfrequentie
(m componenten * lambda)</t>
        </is>
      </c>
      <c r="GW13" s="320" t="inlineStr">
        <is>
          <t>Lambda functie</t>
        </is>
      </c>
      <c r="GX13" s="320" t="inlineStr">
        <is>
          <t>ONB schip tijdens missie
(gegeven systeem is beschik-
baar bij aanvang missie)</t>
        </is>
      </c>
      <c r="GY13" s="320" t="inlineStr">
        <is>
          <t>Cumulatieve
ONB schip tijdens missie
(gegeven systeem is beschik-
baar bij aanvang missie)</t>
        </is>
      </c>
      <c r="GZ13" s="320" t="inlineStr">
        <is>
          <t>ONB schip bij aanvang missie
(kans dat functie niet beschikbaar is bij aanvang missie)</t>
        </is>
      </c>
      <c r="HA13" s="320" t="inlineStr">
        <is>
          <t>Cumulatieve ONB schip
bij aanvang missie</t>
        </is>
      </c>
      <c r="HC13" s="320" t="inlineStr">
        <is>
          <t>Storingsfrequentie
(m componenten * lambda)</t>
        </is>
      </c>
      <c r="HD13" s="320" t="inlineStr">
        <is>
          <t>Lambda functie</t>
        </is>
      </c>
      <c r="HE13" s="320" t="inlineStr">
        <is>
          <t>ONB schip tijdens missie
(gegeven systeem is beschik-
baar bij aanvang missie)</t>
        </is>
      </c>
      <c r="HF13" s="320" t="inlineStr">
        <is>
          <t>Cumulatieve
ONB schip tijdens missie
(gegeven systeem is beschik-
baar bij aanvang missie)</t>
        </is>
      </c>
      <c r="HG13" s="320" t="inlineStr">
        <is>
          <t>ONB schip bij aanvang missie
(kans dat functie niet beschikbaar is bij aanvang missie)</t>
        </is>
      </c>
      <c r="HH13" s="320" t="inlineStr">
        <is>
          <t>Cumulatieve ONB schip
bij aanvang missie</t>
        </is>
      </c>
      <c r="HJ13" s="320" t="inlineStr">
        <is>
          <t>Storingsfrequentie
(m componenten * lambda)</t>
        </is>
      </c>
      <c r="HK13" s="320" t="inlineStr">
        <is>
          <t>Lambda functie</t>
        </is>
      </c>
      <c r="HL13" s="320" t="inlineStr">
        <is>
          <t>ONB schip tijdens missie
(gegeven systeem is beschik-
baar bij aanvang missie)</t>
        </is>
      </c>
      <c r="HM13" s="320" t="inlineStr">
        <is>
          <t>Cumulatieve
ONB schip tijdens missie
(gegeven systeem is beschik-
baar bij aanvang missie)</t>
        </is>
      </c>
      <c r="HN13" s="320" t="inlineStr">
        <is>
          <t>ONB schip bij aanvang missie
(kans dat functie niet beschikbaar is bij aanvang missie)</t>
        </is>
      </c>
      <c r="HO13" s="320" t="inlineStr">
        <is>
          <t>Cumulatieve ONB schip
bij aanvang missie</t>
        </is>
      </c>
      <c r="HQ13" s="320" t="inlineStr">
        <is>
          <t>Storingsfrequentie
(m componenten * lambda)</t>
        </is>
      </c>
      <c r="HR13" s="320" t="inlineStr">
        <is>
          <t>Lambda functie</t>
        </is>
      </c>
      <c r="HS13" s="320" t="inlineStr">
        <is>
          <t>ONB schip tijdens missie
(gegeven systeem is beschik-
baar bij aanvang missie)</t>
        </is>
      </c>
      <c r="HT13" s="320" t="inlineStr">
        <is>
          <t>Cumulatieve
ONB schip tijdens missie
(gegeven systeem is beschik-
baar bij aanvang missie)</t>
        </is>
      </c>
      <c r="HU13" s="320" t="inlineStr">
        <is>
          <t>ONB schip bij aanvang missie
(kans dat functie niet beschikbaar is bij aanvang missie)</t>
        </is>
      </c>
      <c r="HV13" s="320" t="inlineStr">
        <is>
          <t>Cumulatieve ONB schip
bij aanvang missie</t>
        </is>
      </c>
      <c r="HX13" s="349" t="n"/>
    </row>
    <row r="14" customFormat="1" s="348">
      <c r="A14" s="334" t="n"/>
      <c r="AI14" s="335" t="n"/>
      <c r="AL14" s="348" t="n"/>
      <c r="AM14" s="348" t="n"/>
      <c r="AN14" s="348" t="n"/>
      <c r="AP14" s="642">
        <f>N(Invoer!L16)</f>
        <v/>
      </c>
      <c r="AQ14" s="642">
        <f>N(Invoer!L17)</f>
        <v/>
      </c>
      <c r="AR14" s="642">
        <f>N(Invoer!L18)</f>
        <v/>
      </c>
      <c r="AS14" s="642">
        <f>N(Invoer!L19)</f>
        <v/>
      </c>
      <c r="AT14" s="642">
        <f>N(Invoer!L20)</f>
        <v/>
      </c>
      <c r="AU14" s="642">
        <f>N(Invoer!L21)</f>
        <v/>
      </c>
      <c r="AW14" s="338" t="inlineStr">
        <is>
          <t>Euro</t>
        </is>
      </c>
      <c r="AY14" s="338" t="inlineStr">
        <is>
          <t>NLG/jaar</t>
        </is>
      </c>
      <c r="BA14" s="338" t="inlineStr">
        <is>
          <t>NLG</t>
        </is>
      </c>
      <c r="BC14" s="338" t="inlineStr">
        <is>
          <t>NLG/jaar</t>
        </is>
      </c>
      <c r="BE14" s="338" t="inlineStr">
        <is>
          <t>NLG/jaar</t>
        </is>
      </c>
      <c r="BG14" s="339" t="inlineStr">
        <is>
          <t>NLG/jaar</t>
        </is>
      </c>
      <c r="BI14" s="339" t="inlineStr">
        <is>
          <t>NLG</t>
        </is>
      </c>
      <c r="BJ14" s="348" t="n"/>
      <c r="BK14" s="339" t="inlineStr">
        <is>
          <t>NLG</t>
        </is>
      </c>
      <c r="BL14" s="348" t="n"/>
      <c r="BM14" s="339" t="inlineStr">
        <is>
          <t>uur</t>
        </is>
      </c>
      <c r="BN14" s="339" t="inlineStr">
        <is>
          <t>uur</t>
        </is>
      </c>
      <c r="BO14" s="339" t="inlineStr">
        <is>
          <t>uur</t>
        </is>
      </c>
      <c r="BP14" s="339" t="inlineStr">
        <is>
          <t>uur</t>
        </is>
      </c>
      <c r="BQ14" s="340" t="n"/>
      <c r="BR14" s="339" t="inlineStr">
        <is>
          <t>uur</t>
        </is>
      </c>
      <c r="BS14" s="339" t="inlineStr">
        <is>
          <t>uur</t>
        </is>
      </c>
      <c r="BT14" s="339" t="inlineStr">
        <is>
          <t>uur</t>
        </is>
      </c>
      <c r="BV14" s="339" t="inlineStr">
        <is>
          <t>#</t>
        </is>
      </c>
      <c r="BW14" s="339" t="inlineStr">
        <is>
          <t>#</t>
        </is>
      </c>
      <c r="BX14" s="339" t="inlineStr">
        <is>
          <t>#</t>
        </is>
      </c>
      <c r="BY14" s="339" t="inlineStr">
        <is>
          <t>#</t>
        </is>
      </c>
      <c r="CA14" s="341" t="inlineStr">
        <is>
          <t>1/uur</t>
        </is>
      </c>
      <c r="CB14" s="341" t="inlineStr">
        <is>
          <t>%</t>
        </is>
      </c>
      <c r="CC14" s="341" t="inlineStr">
        <is>
          <t>%</t>
        </is>
      </c>
      <c r="CD14" s="341" t="inlineStr">
        <is>
          <t>1/uur</t>
        </is>
      </c>
      <c r="CE14" s="341" t="inlineStr">
        <is>
          <t>1/uur</t>
        </is>
      </c>
      <c r="CF14" s="341" t="inlineStr">
        <is>
          <t>1/uur</t>
        </is>
      </c>
      <c r="CG14" s="341" t="inlineStr">
        <is>
          <t>%</t>
        </is>
      </c>
      <c r="CH14" s="341" t="inlineStr">
        <is>
          <t>1/uur</t>
        </is>
      </c>
      <c r="CI14" s="341" t="inlineStr">
        <is>
          <t>1/uur</t>
        </is>
      </c>
      <c r="CJ14" s="341" t="inlineStr">
        <is>
          <t>1/uur</t>
        </is>
      </c>
      <c r="CK14" s="341" t="inlineStr">
        <is>
          <t>1/uur</t>
        </is>
      </c>
      <c r="CL14" s="342" t="inlineStr">
        <is>
          <t>-</t>
        </is>
      </c>
      <c r="CM14" s="341" t="inlineStr">
        <is>
          <t>1/uur</t>
        </is>
      </c>
      <c r="CN14" s="341" t="inlineStr">
        <is>
          <t>1/uur</t>
        </is>
      </c>
      <c r="CO14" s="341" t="inlineStr">
        <is>
          <t>1/uur</t>
        </is>
      </c>
      <c r="CP14" s="341" t="inlineStr">
        <is>
          <t>1/uur</t>
        </is>
      </c>
      <c r="CR14" s="343" t="inlineStr">
        <is>
          <t>#</t>
        </is>
      </c>
      <c r="CS14" s="344" t="inlineStr">
        <is>
          <t>-</t>
        </is>
      </c>
      <c r="CT14" s="348" t="n"/>
      <c r="CU14" s="343" t="inlineStr">
        <is>
          <t>#</t>
        </is>
      </c>
      <c r="CV14" s="338" t="inlineStr">
        <is>
          <t>jaar</t>
        </is>
      </c>
      <c r="CW14" s="339" t="inlineStr">
        <is>
          <t>jaar</t>
        </is>
      </c>
      <c r="CX14" s="345" t="inlineStr">
        <is>
          <t>%</t>
        </is>
      </c>
      <c r="CY14" s="346" t="inlineStr">
        <is>
          <t>-</t>
        </is>
      </c>
      <c r="CZ14" s="346" t="inlineStr">
        <is>
          <t>-</t>
        </is>
      </c>
      <c r="DB14" s="339" t="inlineStr">
        <is>
          <t>uur</t>
        </is>
      </c>
      <c r="DC14" s="340" t="n"/>
      <c r="DD14" s="339" t="inlineStr">
        <is>
          <t>uur</t>
        </is>
      </c>
      <c r="DE14" s="339" t="inlineStr">
        <is>
          <t>uur</t>
        </is>
      </c>
      <c r="DF14" s="339" t="inlineStr">
        <is>
          <t>uur</t>
        </is>
      </c>
      <c r="DG14" s="339" t="inlineStr">
        <is>
          <t>uur</t>
        </is>
      </c>
      <c r="DH14" s="339" t="inlineStr">
        <is>
          <t>uur</t>
        </is>
      </c>
      <c r="DI14" s="339" t="inlineStr">
        <is>
          <t>uur</t>
        </is>
      </c>
      <c r="DJ14" s="339" t="inlineStr">
        <is>
          <t>uur</t>
        </is>
      </c>
      <c r="DL14" s="339" t="inlineStr">
        <is>
          <t>uur</t>
        </is>
      </c>
      <c r="DM14" s="339" t="inlineStr">
        <is>
          <t>uur</t>
        </is>
      </c>
      <c r="DN14" s="339" t="inlineStr">
        <is>
          <t>uur</t>
        </is>
      </c>
      <c r="DO14" s="339" t="inlineStr">
        <is>
          <t>uur</t>
        </is>
      </c>
      <c r="DP14" s="339" t="inlineStr">
        <is>
          <t>uur</t>
        </is>
      </c>
      <c r="DQ14" s="339" t="inlineStr">
        <is>
          <t>uur</t>
        </is>
      </c>
      <c r="DR14" s="339" t="inlineStr">
        <is>
          <t>uur</t>
        </is>
      </c>
      <c r="DT14" s="340" t="n"/>
      <c r="DU14" s="340" t="n"/>
      <c r="DV14" s="340" t="n"/>
      <c r="DW14" s="339" t="inlineStr">
        <is>
          <t>%</t>
        </is>
      </c>
      <c r="DX14" s="340" t="n"/>
      <c r="DZ14" s="340" t="n"/>
      <c r="EA14" s="340" t="n"/>
      <c r="EB14" s="340" t="n"/>
      <c r="EC14" s="340" t="n"/>
      <c r="ED14" s="340" t="n"/>
      <c r="EE14" s="340" t="n"/>
      <c r="EF14" s="339" t="inlineStr">
        <is>
          <t>%</t>
        </is>
      </c>
      <c r="EG14" s="340" t="n"/>
      <c r="EK14" s="347" t="n"/>
      <c r="EM14" s="51" t="n"/>
      <c r="EN14" s="51" t="n"/>
      <c r="EO14" s="51" t="n"/>
      <c r="EP14" s="51" t="n"/>
      <c r="ER14" s="347" t="n"/>
      <c r="ES14" s="348" t="n"/>
      <c r="ET14" s="348" t="n"/>
      <c r="EU14" s="348" t="n"/>
      <c r="EV14" s="348" t="n"/>
      <c r="EW14" s="348" t="n"/>
      <c r="EX14" s="348" t="n"/>
      <c r="EY14" s="348" t="n"/>
      <c r="EZ14" s="348" t="n"/>
      <c r="FA14" s="348" t="n"/>
      <c r="FB14" s="348" t="n"/>
      <c r="FC14" s="348" t="n"/>
      <c r="FD14" s="348" t="n"/>
      <c r="FF14" s="348" t="n"/>
      <c r="FG14" s="348" t="n"/>
      <c r="FM14" s="348" t="n"/>
      <c r="FN14" s="348" t="n"/>
      <c r="FO14" s="348" t="n"/>
      <c r="FP14" s="348" t="n"/>
      <c r="FQ14" s="348" t="n"/>
      <c r="HX14" s="349" t="n"/>
    </row>
    <row r="15" ht="15" customFormat="1" customHeight="1" s="56" thickBot="1">
      <c r="A15" s="98">
        <f>CELL("row",Invoerrij)+2</f>
        <v/>
      </c>
      <c r="B15" s="98" t="n"/>
      <c r="C15" s="45" t="n"/>
      <c r="D15" s="45" t="n"/>
      <c r="E15" s="45" t="n"/>
      <c r="F15" s="45" t="n"/>
      <c r="G15" s="45" t="n"/>
      <c r="H15" s="45" t="n"/>
      <c r="I15" s="45" t="n"/>
      <c r="J15" s="45" t="n"/>
      <c r="K15" s="45" t="n"/>
      <c r="L15" s="45" t="n"/>
      <c r="M15" s="45" t="n"/>
      <c r="N15" s="45" t="n"/>
      <c r="O15" s="45" t="n"/>
      <c r="P15" s="45" t="n"/>
      <c r="Q15" s="45" t="n"/>
      <c r="R15" s="45" t="n"/>
      <c r="S15" s="45" t="n"/>
      <c r="T15" s="45" t="n"/>
      <c r="U15" s="45" t="n"/>
      <c r="V15" s="45" t="n"/>
      <c r="W15" s="45" t="n"/>
      <c r="X15" s="45" t="n"/>
      <c r="Y15" s="45" t="n"/>
      <c r="Z15" s="45" t="n"/>
      <c r="AA15" s="45" t="n"/>
      <c r="AB15" s="45" t="n"/>
      <c r="AC15" s="45" t="n"/>
      <c r="AD15" s="45" t="n"/>
      <c r="AE15" s="45" t="n"/>
      <c r="AF15" s="45" t="n"/>
      <c r="AG15" s="45" t="n"/>
      <c r="AH15" s="45" t="n"/>
      <c r="AI15" s="44" t="n"/>
      <c r="AJ15" s="45" t="n"/>
      <c r="AK15" s="45" t="n"/>
      <c r="AL15" s="45" t="n"/>
      <c r="AM15" s="45" t="n"/>
      <c r="AN15" s="45" t="n"/>
      <c r="AO15" s="45" t="n"/>
      <c r="AP15" s="107" t="n"/>
      <c r="AQ15" s="107" t="n"/>
      <c r="AR15" s="107" t="n"/>
      <c r="AS15" s="107" t="n"/>
      <c r="AT15" s="107" t="n"/>
      <c r="AU15" s="107" t="n"/>
      <c r="AV15" s="45" t="n"/>
      <c r="AW15" s="47" t="n"/>
      <c r="AX15" s="45" t="n"/>
      <c r="AY15" s="47" t="n"/>
      <c r="AZ15" s="45" t="n"/>
      <c r="BA15" s="47" t="n"/>
      <c r="BB15" s="45" t="n"/>
      <c r="BC15" s="47" t="n"/>
      <c r="BD15" s="45" t="n"/>
      <c r="BE15" s="45" t="n"/>
      <c r="BF15" s="45" t="n"/>
      <c r="BG15" s="45" t="n"/>
      <c r="BH15" s="45" t="n"/>
      <c r="BI15" s="45" t="n"/>
      <c r="BJ15" s="45" t="n"/>
      <c r="BK15" s="45" t="n"/>
      <c r="BL15" s="45" t="n"/>
      <c r="BM15" s="117" t="n"/>
      <c r="BN15" s="117" t="n"/>
      <c r="BO15" s="117" t="n"/>
      <c r="BP15" s="117" t="n"/>
      <c r="BQ15" s="117" t="n"/>
      <c r="BR15" s="117" t="n"/>
      <c r="BS15" s="117" t="n"/>
      <c r="BT15" s="117" t="n"/>
      <c r="BU15" s="45" t="n"/>
      <c r="BV15" s="45" t="n"/>
      <c r="BW15" s="45" t="n"/>
      <c r="BX15" s="45" t="n"/>
      <c r="BY15" s="45" t="n"/>
      <c r="BZ15" s="45" t="n"/>
      <c r="CA15" s="45" t="n"/>
      <c r="CB15" s="45" t="n"/>
      <c r="CC15" s="45" t="n"/>
      <c r="CD15" s="49" t="n"/>
      <c r="CE15" s="49" t="n"/>
      <c r="CF15" s="50" t="n"/>
      <c r="CG15" s="50" t="n"/>
      <c r="CH15" s="49" t="n"/>
      <c r="CI15" s="49" t="n"/>
      <c r="CJ15" s="49" t="n"/>
      <c r="CK15" s="49" t="n"/>
      <c r="CL15" s="51" t="n"/>
      <c r="CM15" s="51" t="n"/>
      <c r="CN15" s="51" t="n"/>
      <c r="CO15" s="51" t="n"/>
      <c r="CP15" s="51" t="n"/>
      <c r="CQ15" s="51" t="n"/>
      <c r="CR15" s="51" t="n"/>
      <c r="CS15" s="51" t="n"/>
      <c r="CT15" s="51" t="n"/>
      <c r="CU15" s="51" t="n"/>
      <c r="CV15" s="95" t="n"/>
      <c r="CW15" s="51" t="n"/>
      <c r="CX15" s="51" t="n"/>
      <c r="CY15" s="51" t="n"/>
      <c r="CZ15" s="51" t="n"/>
      <c r="DA15" s="45" t="n"/>
      <c r="DB15" s="51" t="n"/>
      <c r="DC15" s="51" t="n"/>
      <c r="DD15" s="51" t="n"/>
      <c r="DE15" s="51" t="n"/>
      <c r="DF15" s="51" t="n"/>
      <c r="DG15" s="51" t="n"/>
      <c r="DH15" s="51" t="n"/>
      <c r="DI15" s="51" t="n"/>
      <c r="DJ15" s="51" t="n"/>
      <c r="DK15" s="51" t="n"/>
      <c r="DL15" s="51" t="n"/>
      <c r="DM15" s="51" t="n"/>
      <c r="DN15" s="51" t="n"/>
      <c r="DO15" s="51" t="n"/>
      <c r="DP15" s="51" t="n"/>
      <c r="DQ15" s="51" t="n"/>
      <c r="DR15" s="51" t="n"/>
      <c r="DS15" s="51" t="n"/>
      <c r="DT15" s="51" t="n"/>
      <c r="DU15" s="51" t="n"/>
      <c r="DV15" s="51" t="n"/>
      <c r="DW15" s="51" t="n"/>
      <c r="DX15" s="51" t="n"/>
      <c r="DY15" s="51" t="n"/>
      <c r="DZ15" s="97" t="n"/>
      <c r="EA15" s="97" t="n"/>
      <c r="EB15" s="97" t="n"/>
      <c r="EC15" s="97" t="n"/>
      <c r="ED15" s="97" t="n"/>
      <c r="EE15" s="97" t="n"/>
      <c r="EF15" s="51" t="n"/>
      <c r="EG15" s="51" t="n"/>
      <c r="EH15" s="51" t="n"/>
      <c r="EI15" s="51" t="n"/>
      <c r="EJ15" s="51" t="n"/>
      <c r="EK15" s="120" t="n"/>
      <c r="EL15" s="51" t="n"/>
      <c r="EM15" s="51" t="n"/>
      <c r="EN15" s="51" t="n"/>
      <c r="EO15" s="51" t="n"/>
      <c r="EP15" s="51" t="n"/>
      <c r="EQ15" s="51" t="n"/>
      <c r="ER15" s="53" t="n"/>
      <c r="ES15" s="51" t="n"/>
      <c r="ET15" s="51" t="n"/>
      <c r="EU15" s="51" t="n"/>
      <c r="EV15" s="51" t="n"/>
      <c r="EW15" s="51" t="n"/>
      <c r="EX15" s="51" t="n"/>
      <c r="EY15" s="51" t="n"/>
      <c r="EZ15" s="51" t="n"/>
      <c r="FA15" s="51" t="n"/>
      <c r="FB15" s="51" t="n"/>
      <c r="FC15" s="51" t="n"/>
      <c r="FD15" s="51" t="n"/>
      <c r="FE15" s="348" t="n"/>
      <c r="FF15" s="51" t="n"/>
      <c r="FG15" s="51" t="n"/>
      <c r="FH15" s="51" t="n"/>
      <c r="FI15" s="51" t="n"/>
      <c r="FJ15" s="51" t="n"/>
      <c r="FK15" s="51" t="n"/>
      <c r="FL15" s="51" t="n"/>
      <c r="FM15" s="117" t="n"/>
      <c r="FN15" s="117" t="n"/>
      <c r="FO15" s="117" t="n"/>
      <c r="FP15" s="117" t="n"/>
      <c r="FQ15" s="117" t="n"/>
      <c r="FR15" s="51" t="n"/>
      <c r="FS15" s="51" t="n"/>
      <c r="FT15" s="51" t="n"/>
      <c r="FU15" s="51" t="n"/>
      <c r="FV15" s="51" t="n"/>
      <c r="FW15" s="51" t="n"/>
      <c r="FX15" s="51" t="n"/>
      <c r="FY15" s="51" t="n"/>
      <c r="FZ15" s="51" t="n"/>
      <c r="GA15" s="51" t="n"/>
      <c r="GB15" s="51" t="n"/>
      <c r="GC15" s="51" t="n"/>
      <c r="GD15" s="51" t="n"/>
      <c r="GE15" s="51" t="n"/>
      <c r="GF15" s="51" t="n"/>
      <c r="GG15" s="51" t="n"/>
      <c r="GH15" s="51" t="n"/>
      <c r="GI15" s="51" t="n"/>
      <c r="GJ15" s="51" t="n"/>
      <c r="GK15" s="51" t="n"/>
      <c r="GL15" s="51" t="n"/>
      <c r="GM15" s="51" t="n"/>
      <c r="GN15" s="51" t="n"/>
      <c r="GO15" s="51" t="n"/>
      <c r="GP15" s="51" t="n"/>
      <c r="GQ15" s="51" t="n"/>
      <c r="GR15" s="51" t="n"/>
      <c r="GS15" s="51" t="n"/>
      <c r="GT15" s="51" t="n"/>
      <c r="GU15" s="51" t="n"/>
      <c r="GV15" s="51" t="n"/>
      <c r="GW15" s="51" t="n"/>
      <c r="GX15" s="51" t="n"/>
      <c r="GY15" s="51" t="n"/>
      <c r="GZ15" s="51" t="n"/>
      <c r="HA15" s="51" t="n"/>
      <c r="HB15" s="51" t="n"/>
      <c r="HC15" s="51" t="n"/>
      <c r="HD15" s="51" t="n"/>
      <c r="HE15" s="51" t="n"/>
      <c r="HF15" s="51" t="n"/>
      <c r="HG15" s="51" t="n"/>
      <c r="HH15" s="51" t="n"/>
      <c r="HI15" s="51" t="n"/>
      <c r="HJ15" s="51" t="n"/>
      <c r="HK15" s="51" t="n"/>
      <c r="HL15" s="51" t="n"/>
      <c r="HM15" s="51" t="n"/>
      <c r="HN15" s="51" t="n"/>
      <c r="HO15" s="51" t="n"/>
      <c r="HP15" s="51" t="n"/>
      <c r="HQ15" s="51" t="n"/>
      <c r="HR15" s="51" t="n"/>
      <c r="HS15" s="51" t="n"/>
      <c r="HT15" s="51" t="n"/>
      <c r="HU15" s="51" t="n"/>
      <c r="HV15" s="51" t="n"/>
      <c r="HW15" s="353" t="n"/>
      <c r="HX15" s="54" t="n"/>
      <c r="HY15" s="353" t="n"/>
      <c r="HZ15" s="353" t="n"/>
      <c r="IA15" s="353" t="n"/>
      <c r="IB15" s="353" t="n"/>
      <c r="IC15" s="353" t="n"/>
      <c r="ID15" s="353" t="n"/>
      <c r="IE15" s="353" t="n"/>
      <c r="IF15" s="353" t="n"/>
      <c r="IG15" s="353" t="n"/>
      <c r="IH15" s="353" t="n"/>
      <c r="II15" s="353" t="n"/>
      <c r="IJ15" s="353" t="n"/>
      <c r="IK15" s="353" t="n"/>
      <c r="IL15" s="353" t="n"/>
      <c r="IM15" s="353" t="n"/>
      <c r="IN15" s="353" t="n"/>
      <c r="IO15" s="353" t="n"/>
      <c r="IP15" s="353" t="n"/>
      <c r="IQ15" s="353" t="n"/>
      <c r="IR15" s="353" t="n"/>
      <c r="IS15" s="353" t="n"/>
      <c r="IT15" s="353" t="n"/>
      <c r="IU15" s="353" t="n"/>
      <c r="IV15" s="353" t="n"/>
    </row>
    <row r="16" hidden="1" ht="12" customFormat="1" customHeight="1" s="353">
      <c r="A16" s="99" t="n"/>
      <c r="B16" s="115" t="n"/>
      <c r="C16" s="115" t="n"/>
      <c r="D16" s="115" t="n"/>
      <c r="E16" s="115" t="n"/>
      <c r="F16" s="115" t="n"/>
      <c r="G16" s="115" t="n"/>
      <c r="H16" s="115" t="n"/>
      <c r="I16" s="115" t="n"/>
      <c r="J16" s="115" t="n"/>
      <c r="K16" s="115" t="n"/>
      <c r="L16" s="58" t="inlineStr">
        <is>
          <t>Niet invullen, niet weggooien</t>
        </is>
      </c>
      <c r="M16" s="58" t="n"/>
      <c r="N16" s="58" t="n"/>
      <c r="O16" s="119" t="n"/>
      <c r="P16" s="96" t="n"/>
      <c r="Q16" s="96" t="n"/>
      <c r="R16" s="96" t="n"/>
      <c r="S16" s="96" t="n"/>
      <c r="T16" s="96" t="n"/>
      <c r="U16" s="96" t="n"/>
      <c r="V16" s="60" t="n"/>
      <c r="W16" s="115" t="n"/>
      <c r="X16" s="115" t="n"/>
      <c r="Y16" s="60" t="n"/>
      <c r="Z16" s="115" t="n"/>
      <c r="AA16" s="115" t="n"/>
      <c r="AB16" s="115" t="n"/>
      <c r="AC16" s="60" t="n"/>
      <c r="AD16" s="34" t="n"/>
      <c r="AE16" s="110" t="n"/>
      <c r="AF16" s="96" t="n"/>
      <c r="AG16" s="107" t="n"/>
      <c r="AH16" s="107" t="n"/>
      <c r="AI16" s="64" t="n"/>
      <c r="AJ16" s="96" t="n"/>
      <c r="AK16" s="110" t="n"/>
      <c r="AL16" s="96" t="n"/>
      <c r="AM16" s="96" t="n"/>
      <c r="AN16" s="96" t="n"/>
      <c r="AO16" s="107" t="n"/>
      <c r="AP16" s="96" t="n"/>
      <c r="AQ16" s="96" t="n"/>
      <c r="AR16" s="96" t="n"/>
      <c r="AS16" s="96" t="n"/>
      <c r="AT16" s="96" t="n"/>
      <c r="AU16" s="96" t="n"/>
      <c r="AV16" s="107" t="n"/>
      <c r="AW16" s="38" t="n"/>
      <c r="AX16" s="107" t="n"/>
      <c r="AY16" s="38">
        <f>IF(Periodiciteit&lt;&gt;"",(uurtarief_wd*(IF(ISNUMBER(tijd_wd),tijd_wd,0))+uurtarief_td*(IF(ISNUMBER(tijd_td),tijd_td,0))+uurtarief_sb*(IF(ISNUMBER(tijd_sb),tijd_sb,0))+uurtarief_rw*(IF(ISNUMBER(tijd_rw),tijd_rw,0))+uurtarief_d*(IF(ISNUMBER(tijd_d),tijd_d,0))+uurtarief_3*(IF(ISNUMBER(tijd_3),tijd_3,0)) +(IF(ISNUMBER(f_vast),f_vast,0)))*(IF(Perio_int="j",1,IF(Perio_int="m",12,IF(Perio_int="w",52,IF(Perio_int="d",365,0)))))*Periodiciteit*aantal_componenten,"")</f>
        <v/>
      </c>
      <c r="AZ16" s="107" t="n"/>
      <c r="BA16" s="78" t="n"/>
      <c r="BB16" s="107" t="n"/>
      <c r="BC16" s="78">
        <f>IF(AND(Periodiciteit&lt;&gt;"",Kosten_res_pk&lt;&gt;""), Kosten_res_pk*(IF(Perio_int="j",1,IF(Perio_int="m",12,IF(Perio_int="w",52,IF(Perio_int="d",365,0)))))*Periodiciteit*aantal_componenten,"")</f>
        <v/>
      </c>
      <c r="BD16" s="107" t="n"/>
      <c r="BE16" s="115" t="n"/>
      <c r="BF16" s="107" t="n"/>
      <c r="BG16" s="78">
        <f>IF(Kosten_res_trade &lt;&gt;"", Kosten_res_trade, Kosten_res_jaar )</f>
        <v/>
      </c>
      <c r="BH16" s="107" t="n"/>
      <c r="BI16" s="115" t="n"/>
      <c r="BJ16" s="107" t="n"/>
      <c r="BK16" s="115">
        <f>IF(AND(Periodiciteit&lt;&gt;"",Gevolgkosten&lt;&gt;""), Gevolgkosten*(IF(Perio_int="j",1,IF(Perio_int="m",12,IF(Perio_int="w",52,IF(Perio_int="d",365,0)))))*Periodiciteit*aantal_componenten,"")</f>
        <v/>
      </c>
      <c r="BL16" s="107" t="n"/>
      <c r="BM16" s="39" t="n"/>
      <c r="BN16" s="115" t="n"/>
      <c r="BO16" s="115" t="n"/>
      <c r="BP16" s="115" t="n"/>
      <c r="BQ16" s="107" t="n"/>
      <c r="BR16" s="115" t="n"/>
      <c r="BS16" s="115" t="n"/>
      <c r="BT16" s="115" t="n"/>
      <c r="BU16" s="107" t="n"/>
      <c r="BV16" s="115" t="n"/>
      <c r="BW16" s="115" t="n"/>
      <c r="BX16" s="115" t="n"/>
      <c r="BY16" s="115" t="n"/>
      <c r="BZ16" s="107" t="n"/>
      <c r="CA16" s="64" t="n"/>
      <c r="CB16" s="66">
        <f>IF(lambda_fabrikant&lt;&gt;"","?","")</f>
        <v/>
      </c>
      <c r="CC16" s="66">
        <f>IF(lambda_fabrikant&lt;&gt;"","?","")</f>
        <v/>
      </c>
      <c r="CD16" s="64">
        <f>IF( OR(CO_rep&lt;&gt;"",CO_verv&lt;&gt;""),IF(lambda_fabrikant&lt;&gt;"",IF(Uitvoeren_missie="N", (1-EXP(-aantal_componenten*lambda_fabrikant*Missieduur*p_gebruik_missie))/Missieduur/aantal_componenten,
IF(doorlooptijd_missie_i &lt;&gt; 0,((aantal_componenten*lambda_fabrikant*(1/doorlooptijd_missie_i)/(aantal_componenten*lambda_fabrikant+1/doorlooptijd_missie_i))*Missieduur*p_gebruik_missie+(aantal_componenten*lambda_fabrikant)^2/(aantal_componenten*lambda_fabrikant+1/doorlooptijd_missie_i)^2*(1-EXP(-(aantal_componenten*lambda_fabrikant+1/doorlooptijd_missie_i)*Missieduur*p_gebruik_missie)))/Missieduur/aantal_componenten,lambda_fabrikant*p_gebruik_missie)),""),"")</f>
        <v/>
      </c>
      <c r="CE16" s="64">
        <f>IF( OR(CO_rep&lt;&gt;"",CO_verv&lt;&gt;""),IF(lambda_fabrikant&lt;&gt;"",IF(uitvoeren_GO = "J", (1-EXP(-(aantal_componenten*lambda_fabrikant*p_gebruik_wal* interval_groot_onderhoud/8760*Missies_per_jaar*walduur)))/ (interval_groot_onderhoud/8760*Missies_per_jaar*walduur) / aantal_componenten,IF(doorlooptijd_wal_i &lt;&gt; 0,((aantal_componenten*lambda_fabrikant*(1/doorlooptijd_wal_i)/(aantal_componenten*lambda_fabrikant+1/doorlooptijd_wal_i))*walduur*p_gebruik_wal+(aantal_componenten*lambda_fabrikant)^2/(aantal_componenten*lambda_fabrikant+1/doorlooptijd_wal_i)^2*(1-EXP(-(aantal_componenten*lambda_fabrikant+1/doorlooptijd_wal_i)*walduur*p_gebruik_wal)))/walduur/aantal_componenten,lambda_fabrikant*p_gebruik_wal)),""),"")</f>
        <v/>
      </c>
      <c r="CF16" s="64">
        <f>IF( OR(CO_rep&lt;&gt;"",CO_verv&lt;&gt;""),
IF(OR(lambda_missie_g&lt;&gt;"",lambda_wal_g&lt;&gt;""), "",  IF(Perio_int="j",1/8760,  IF(Perio_int="m",12/8760,  IF(Perio_int="w",52/8760,  IF(Perio_int="d",365/8760,"error") ) ) )*Periodiciteit),"")</f>
        <v/>
      </c>
      <c r="CG16" s="66">
        <f>IF(OR(CO_rep&lt;&gt;"",CO_verv&lt;&gt;""),1,"")</f>
        <v/>
      </c>
      <c r="CH16" s="64">
        <f>IF( OR(CO_rep&lt;&gt;"",CO_verv&lt;&gt;""),IF(lambda_fabrikant="",lambda_kalendertijd*missiepercentage*8760/(Missies_per_jaar*Missieduur),""),"")</f>
        <v/>
      </c>
      <c r="CI16" s="64">
        <f>IF( OR(CO_rep&lt;&gt;"",CO_verv&lt;&gt;""),IF(lambda_fabrikant="",lambda_kalendertijd*(1-missiepercentage)*8760/(Missies_per_jaar*walduur),""),"")</f>
        <v/>
      </c>
      <c r="CJ16" s="64">
        <f>IF( OR(CO_rep&lt;&gt;"",CO_verv&lt;&gt;""),
IF(OR(lambda_missie_g&lt;&gt;"",lambda_wal_g&lt;&gt;""), (lambda_missie_g*Missieduur + lambda_wal_g*walduur)/8760*Missies_per_jaar, lambda_kalendertijd),"")</f>
        <v/>
      </c>
      <c r="CK16" s="64">
        <f>IF(lambda&lt;&gt;"",m_schip*lambda,"")</f>
        <v/>
      </c>
      <c r="CL16" s="65">
        <f>IF(OR(CO_rep&lt;&gt;"",CO_verv&lt;&gt;""),IF(Redundantie = "J","?",1),"")</f>
        <v/>
      </c>
      <c r="CM16" s="64">
        <f>IF(lambda&lt;&gt;"",IF(Redundantie="J",IF(lambda_missie_g&lt;&gt;"",lambda_missie_g*redundantie_factor,lambda_missie*redundantie_factor),IF(lambda_missie_g&lt;&gt;"",lambda_missie_g*m_schip,lambda_missie*m_schip)),"")</f>
        <v/>
      </c>
      <c r="CN16" s="64">
        <f>IF(lambda&lt;&gt;"",lambda_functie*Missieduur*Missies_per_jaar/8760,"")</f>
        <v/>
      </c>
      <c r="CO16" s="64">
        <f>IF(lambda&lt;&gt;"",IF(Redundantie="J",IF(lambda_wal_g&lt;&gt;"",lambda_wal_g*redundantie_factor,lambda_wal*redundantie_factor),IF(lambda_wal_g&lt;&gt;"",lambda_wal_g*m_schip,lambda_wal*m_schip)),"")</f>
        <v/>
      </c>
      <c r="CP16" s="64">
        <f>IF(lambda&lt;&gt;"",lambda_functie_wal*walduur*Missies_per_jaar/8760,"")</f>
        <v/>
      </c>
      <c r="CQ16" s="107" t="n"/>
      <c r="CR16" s="115">
        <f>IF(OR(CO_verv&lt;&gt;"",CO_rep&lt;&gt;""),aantal_componenten,"")</f>
        <v/>
      </c>
      <c r="CS16" s="66">
        <f>IF( OR(CO_rep&lt;&gt;"",CO_verv&lt;&gt;""),IF(Aantal_res_boord=0,1,IF(lambda_missie_g&lt;&gt;"",1-POISSON(Aantal_res_boord-1,m_schip*lambda_missie_g*Missieduur,TRUE),1-POISSON(Aantal_res_boord-1,m_schip*lambda_missie*Missieduur,TRUE))),"")</f>
        <v/>
      </c>
      <c r="CT16" s="107" t="n"/>
      <c r="CU16" s="115">
        <f>IF(OR(CO_verv&lt;&gt;"",CO_rep&lt;&gt;""),Aantal_fregatten * m_schip,"")</f>
        <v/>
      </c>
      <c r="CV16" s="65">
        <f>IF(AND(lambda&gt;0,Aantal_ini_wal&gt;=0,Aantal_res_wal&lt;&gt;""),IF(Aantal_ini_wal&gt;Aantal_res_wal,(Aantal_ini_wal-Aantal_res_wal)/(m_vloot*lambda*8760),0),"")</f>
        <v/>
      </c>
      <c r="CW16" s="65">
        <f>IF(AND(lambda&gt;0,Aantal_max_wal&gt;=0,Aantal_res_wal&lt;&gt;""),IF(Aantal_max_wal&gt;Aantal_res_wal,(Aantal_max_wal-Aantal_res_wal)/(m_vloot*lambda*8760),0),"")</f>
        <v/>
      </c>
      <c r="CX16" s="68">
        <f>IF(AND(ini_periode&lt;&gt;"",bestel_interval&lt;&gt;"",besteltijd&lt;&gt;""),IF(ini_periode&gt;=Looptijd,0,
IF(bestel_interval&gt;=(Looptijd-ini_periode),IF(besteltijd&lt;(Looptijd-ini_periode),besteltijd/8760/Looptijd,(Looptijd-ini_periode)/Looptijd),
IF(((Looptijd-ini_periode)-(INT((Looptijd-ini_periode)/(besteltijd/8760+bestel_interval))))&gt;=besteltijd/8760,(1+INT((Looptijd-ini_periode)/(besteltijd/8760+bestel_interval)))*(besteltijd/8760)/Looptijd,(INT((Looptijd-ini_periode)/(besteltijd/8760+bestel_interval))*(besteltijd/8760)+((Looptijd-ini_periode)-(INT((Looptijd-ini_periode)/(besteltijd/8760+bestel_interval)))*(besteltijd/8760+bestel_interval)))/Looptijd))),"")</f>
        <v/>
      </c>
      <c r="CY16" s="66">
        <f>IF( OR(CO_rep&lt;&gt;"",CO_verv&lt;&gt;""),
  IF( Aantal_res_wal+(Aantal_fregatten-1)*Aantal_res_boord=0, 1*IF(percentage_looptijd_inbestelling&lt;&gt;"",percentage_looptijd_inbestelling,1),
(1-POISSON(Aantal_res_wal-1+(Aantal_fregatten-1)*Aantal_res_boord, m_vloot*lambda*besteltijd,TRUE))*IF(percentage_looptijd_inbestelling&lt;&gt;"",percentage_looptijd_inbestelling,1)),"")</f>
        <v/>
      </c>
      <c r="CZ16" s="66">
        <f>IF( OR(CO_rep&lt;&gt;"",CO_verv&lt;&gt;""),IF( Aantal_res_wal=0,1,  1-POISSON(Aantal_res_boord+Aantal_res_wal-1, m_vloot*lambda*besteltijd,TRUE)   ),"")</f>
        <v/>
      </c>
      <c r="DA16" s="107" t="n"/>
      <c r="DB16" s="115">
        <f>IF(OR(Uitvoeren_missie&lt;&gt;"J",uitvoeren_bedrijf="J",uitvoeren_GO="J"), "",
  IF(TAO_revisie&lt;&gt;"",  TAO_rev_verv_tijd,
  IF(TAO_vervanging&lt;&gt;"",  TAO_rev_verv_tijd,
  IF(PO_doorlooptijd&lt;&gt;0,  PO_doorlooptijd,"" ))))</f>
        <v/>
      </c>
      <c r="DC16" s="107" t="n"/>
      <c r="DD16" s="115">
        <f>IF(AND(CO_rep&lt;&gt;"", Uitvoeren_missie="N"), Missieduur,
  IF(AND(CO_rep&lt;&gt;"", Uitvoeren_missie="J"), CO_zoektijd + CO_rep_verv_tijd,""))</f>
        <v/>
      </c>
      <c r="DE16" s="115">
        <f>IF(AND(CO_verv&lt;&gt;"", Uitvoeren_missie="N"), Missieduur,
  IF(AND(CO_verv&lt;&gt;"", Uitvoeren_missie="J"), CO_zoektijd + CO_rep_verv_tijd,""))</f>
        <v/>
      </c>
      <c r="DF16" s="115">
        <f>IF(AND(CO_verv&lt;&gt;"", Uitvoeren_missie="N"), Missieduur,
  IF(AND(CO_verv&lt;&gt;"", Uitvoeren_missie="J"), wachttijd_invlieg+CO_zoektijd + CO_rep_verv_tijd,""))</f>
        <v/>
      </c>
      <c r="DG16" s="115">
        <f>IF(AND(CO_verv&lt;&gt;"", Uitvoeren_missie="N"), Missieduur,
  IF(AND(CO_verv&lt;&gt;"", Uitvoeren_missie="J"), besteltijd + wachttijd_invlieg + CO_zoektijd + CO_rep_verv_tijd,""))</f>
        <v/>
      </c>
      <c r="DH16" s="115">
        <f> IF(AND(doorlooptijd_missie_met&lt;&gt;"",CO_verv&lt;&gt;""),    P_op_boord* ( P_op_vloot*doorlooptijd_missie_zonder  +  (1-P_op_vloot)*doorlooptijd_invlieg  ) + (1-P_op_boord)* doorlooptijd_missie_met, "")</f>
        <v/>
      </c>
      <c r="DI16" s="115">
        <f>IF(CO_rep&lt;&gt;"",doorlooptijd_missie_rep,IF(AND(CO_verv&lt;&gt;"",Aantal_res_boord&lt;&gt;"",Aantal_res_boord&lt;&gt;0),doorlooptijd_missie_met,IF(AND(CO_verv&lt;&gt;"",Aantal_max_wal&lt;&gt;"",Aantal_max_wal&lt;&gt;0),doorlooptijd_invlieg,doorlooptijd_missie_zonder)))</f>
        <v/>
      </c>
      <c r="DJ16" s="115">
        <f>IF(doorlooptijd_missie_verv&lt;&gt;"", doorlooptijd_missie_verv, IF(doorlooptijd_missie_rep&lt;&gt;"", doorlooptijd_missie_rep,""))</f>
        <v/>
      </c>
      <c r="DK16" s="107" t="n"/>
      <c r="DL16" s="115">
        <f>  IF(CO_rep&lt;&gt;"", CO_zoektijd + CO_rep_verv_tijd,"")</f>
        <v/>
      </c>
      <c r="DM16" s="115">
        <f>  IF(AND(CO_verv&lt;&gt;"",CO_rep=""), wachttijd_wal+CO_zoektijd + CO_rep_verv_tijd,"")</f>
        <v/>
      </c>
      <c r="DN16" s="115">
        <f> IF(AND(CO_verv&lt;&gt;"",CO_rep=""), wachttijd_invlieg+CO_zoektijd + CO_rep_verv_tijd,"")</f>
        <v/>
      </c>
      <c r="DO16" s="115">
        <f>IF(AND(CO_verv&lt;&gt;"",CO_rep=""), besteltijd + wachttijd_wal + CO_zoektijd + CO_rep_verv_tijd,"")</f>
        <v/>
      </c>
      <c r="DP16" s="69">
        <f> IF(AND(doorlooptijd_van_wal&lt;&gt;"",CO_verv&lt;&gt;""),     P_op_vloot*doorlooptijd_wal_zonder  +
     (1-P_op_vloot)*(P_op_wal*Doorlooptijd_transport+ (1-P_op_wal)*doorlooptijd_van_wal  ),   "")</f>
        <v/>
      </c>
      <c r="DQ16" s="115">
        <f>IF(CO_rep&lt;&gt;"",doorlooptijd_wal_rep,IF(AND(CO_verv&lt;&gt;"",AND(Aantal_res_boord&lt;&gt;"",Aantal_res_boord&lt;&gt;0)),doorlooptijd_van_wal,IF(AND(CO_verv&lt;&gt;"",AND(Aantal_max_wal&lt;&gt;"",Aantal_max_wal&lt;&gt;0)),Doorlooptijd_transport,doorlooptijd_wal_zonder)))</f>
        <v/>
      </c>
      <c r="DR16" s="115">
        <f>IF(doorlooptijd_wal_verv&lt;&gt;"", doorlooptijd_wal_verv, IF(doorlooptijd_wal_rep&lt;&gt;"", doorlooptijd_wal_rep,""))</f>
        <v/>
      </c>
      <c r="DS16" s="107" t="n"/>
      <c r="DT16" s="64">
        <f>IF(OR(CO_verv&lt;&gt;"",CO_rep&lt;&gt;""),IF(lambda_functie&lt;&gt;"",ONB_missie_tussenberekening_1 + ONB_missie_tussenberekening_2,""),"")</f>
        <v/>
      </c>
      <c r="DU16" s="64">
        <f>IF(OR(CO_rep&lt;&gt;"",CO_verv&lt;&gt;""),IF(lambda_functie&lt;&gt;"",IF(Uitvoeren_missie="N",1-(1-EXP(-lambda_functie*Missieduur))/(lambda_functie*Missieduur),IF(CO_verv&lt;&gt;"",
(1-P_op_boord)*IF(doorlooptijd_missie_met&lt;&gt;0,lambda_functie/(lambda_functie+(1/doorlooptijd_missie_met))-lambda_functie/((lambda_functie+(1/doorlooptijd_missie_met))^2*Missieduur)*(1-EXP(-(lambda_functie+(1/doorlooptijd_missie_met))*Missieduur)),0)+P_op_boord*((1-P_op_vloot)*IF(doorlooptijd_invlieg&lt;&gt;0,lambda_functie/(lambda_functie+(1 /doorlooptijd_invlieg))-lambda_functie/((lambda_functie+(1/doorlooptijd_invlieg))^2*Missieduur)*(1-EXP(-(lambda_functie+(1/doorlooptijd_invlieg))*Missieduur)),0)+P_op_vloot*IF(doorlooptijd_missie_zonder&lt;&gt;0,lambda_functie/(lambda_functie+(1/doorlooptijd_missie_zonder))-lambda_functie/((lambda_functie+(1/doorlooptijd_missie_zonder))^2*Missieduur)*(1-EXP(-(lambda_functie+(1/doorlooptijd_missie_zonder))*Missieduur)),0)),0)),0),"")</f>
        <v/>
      </c>
      <c r="DV16" s="64">
        <f>IF(OR(CO_rep&lt;&gt;"",CO_verv&lt;&gt;""),IF(lambda_functie&lt;&gt;"",IF(CO_rep&lt;&gt;"",
IF(doorlooptijd_missie_rep&lt;&gt;0,lambda_functie/(lambda_functie+(1/doorlooptijd_missie_rep))-lambda_functie/((lambda_functie+(1/doorlooptijd_missie_rep))^2*Missieduur)*(1-EXP(-(lambda_functie+(1/doorlooptijd_missie_rep))*Missieduur)),0),0)),"")</f>
        <v/>
      </c>
      <c r="DW16" s="66">
        <f>IF(ONB_missie="","",IF(tot_ONB_missie&lt;&gt;0,ONB_missie/tot_ONB_missie,0))</f>
        <v/>
      </c>
      <c r="DX16" s="115">
        <f>DT16</f>
        <v/>
      </c>
      <c r="DY16" s="107" t="n"/>
      <c r="DZ16" s="96">
        <f>IF(OR(CO_rep&lt;&gt;"",CO_verv&lt;&gt;""),IF(uitvoeren_GO="J",ONB_tussenberekening_1,IF(CO_rep&lt;&gt;"",ONB_tussenberekening_2,ONB_tussenberekening_3+ONB_tussenberekening_4+ONB_tussenberekening_5)),"")</f>
        <v/>
      </c>
      <c r="EA16" s="96">
        <f>IF(OR(CO_rep&lt;&gt;"",CO_verv&lt;&gt;""),IF(AND(OR(lambda_functie_kalendertijd&lt;&gt;"",lambda_functie_wal_kalendertijd&lt;&gt;""),uitvoeren_GO="J"),
1-(1-EXP(-(lambda_functie_kalendertijd+lambda_functie_wal_kalendertijd)*interval_groot_onderhoud))
/((lambda_functie_kalendertijd+lambda_functie_wal_kalendertijd)*interval_groot_onderhoud),0),"")</f>
        <v/>
      </c>
      <c r="EB16" s="96">
        <f>IF(OR(CO_rep&lt;&gt;"",CO_verv&lt;&gt;""),IF(AND(CO_rep &lt;&gt;"",OR(doorlooptijd_missie_rep&gt;=walduur,doorlooptijd_wal_rep &gt;= walduur)),IF(doorlooptijd_missie_rep &gt;= walduur,lambda_functie_kalendertijd / (lambda_functie_kalendertijd + 1/doorlooptijd_missie_rep),0)
 + IF(doorlooptijd_wal_rep &gt;= walduur,lambda_functie_wal_kalendertijd / (lambda_functie_wal_kalendertijd + 1/doorlooptijd_wal_rep),0),IF(CO_rep &lt;&gt; "",(1 -EXP(-(lambda_functie_wal_kalendertijd + 1 / doorlooptijd_wal_rep)*walduur))
*  lambda_functie_wal_kalendertijd / (lambda_functie_wal_kalendertijd + 1/ doorlooptijd_wal_rep),0)),"")</f>
        <v/>
      </c>
      <c r="EC16" s="96">
        <f>IF(OR(CO_rep&lt;&gt;"",CO_verv&lt;&gt;""),IF(CO_verv&lt;&gt;"",
P_op_boord* ( P_op_vloot*IF(doorlooptijd_missie_zonder&gt;=walduur, lambda_functie_kalendertijd / (lambda_functie_kalendertijd + 1/doorlooptijd_missie_zonder),0)+ (1- P_op_vloot)*IF(doorlooptijd_invlieg&gt;=walduur, lambda_functie_kalendertijd / (lambda_functie_kalendertijd + 1 /doorlooptijd_invlieg),0) )
+ (1- P_op_boord) * IF(doorlooptijd_missie_met&gt;=walduur,lambda_functie_kalendertijd / (lambda_functie_kalendertijd  + 1 / doorlooptijd_missie_met),0),0),"")</f>
        <v/>
      </c>
      <c r="ED16" s="96">
        <f>IF(OR(CO_rep&lt;&gt;"",CO_verv&lt;&gt;""),IF(CO_verv &lt;&gt;"",
(1-P_op_vloot)*((1 - P_op_wal)*IF(doorlooptijd_van_wal&gt;=walduur,lambda_functie_wal_kalendertijd/(lambda_functie_wal_kalendertijd+ 1/ doorlooptijd_van_wal),0)
+ P_op_wal*IF(Doorlooptijd_transport&gt;=walduur,lambda_functie_wal_kalendertijd / (lambda_functie_wal_kalendertijd +1/Doorlooptijd_transport),0) )+ P_op_vloot*IF(doorlooptijd_wal_zonder&gt;=walduur, lambda_functie_wal_kalendertijd / (lambda_functie_wal_kalendertijd + 1/ doorlooptijd_wal_zonder),0),0),"")</f>
        <v/>
      </c>
      <c r="EE16" s="96">
        <f>IF(OR(CO_rep&lt;&gt;"",CO_verv&lt;&gt;""),IF(CO_verv &lt;&gt;"",
(1-P_op_vloot)* ( (1- P_op_wal)* (IF(AND(doorlooptijd_van_wal&lt;&gt;0,doorlooptijd_van_wal&lt;walduur),(1 -EXP(-(lambda_functie_wal_kalendertijd + 1 / doorlooptijd_van_wal)*walduur))
*  lambda_functie_wal_kalendertijd / (lambda_functie_wal_kalendertijd + 1/ doorlooptijd_van_wal),0))
+ P_op_wal*(IF(AND(Doorlooptijd_transport&lt;&gt;0,Doorlooptijd_transport&lt;walduur),(1 -EXP(-(lambda_functie_wal_kalendertijd + 1 / Doorlooptijd_transport)*walduur))
* lambda_functie_wal_kalendertijd /(lambda_functie_wal_kalendertijd + 1/ Doorlooptijd_transport),0)))
 + P_op_vloot*(IF(AND(doorlooptijd_wal_zonder&lt;&gt;0,doorlooptijd_wal_zonder&lt;walduur),(1 -EXP(-(lambda_functie_wal_kalendertijd + 1 / doorlooptijd_wal_zonder)*walduur))
*  lambda_functie_wal_kalendertijd / (lambda_functie_wal_kalendertijd + 1/ doorlooptijd_wal_zonder),0)),0),"")</f>
        <v/>
      </c>
      <c r="EF16" s="66">
        <f>IF(ONB_aanvang="","",IF(tot_ONB_aanvang&lt;&gt;0,ONB_aanvang/tot_ONB_aanvang,0))</f>
        <v/>
      </c>
      <c r="EG16" s="115">
        <f>DZ16</f>
        <v/>
      </c>
      <c r="EH16" s="107" t="n"/>
      <c r="EI16" s="40" t="n"/>
      <c r="EJ16" s="71" t="n"/>
      <c r="EK16" s="120" t="n"/>
      <c r="EL16" s="119" t="n"/>
      <c r="EM16" s="107" t="n"/>
      <c r="EN16" s="72" t="n"/>
      <c r="EO16" s="107" t="n"/>
      <c r="EP16" s="107" t="n"/>
      <c r="EQ16" s="119" t="n"/>
      <c r="ER16" s="120" t="n"/>
      <c r="ES16" s="119" t="n"/>
      <c r="ET16" s="119" t="n"/>
      <c r="EU16" s="115" t="n"/>
      <c r="EV16" s="115" t="n"/>
      <c r="EW16" s="115" t="n"/>
      <c r="EX16" s="115" t="n"/>
      <c r="EY16" s="115" t="n"/>
      <c r="EZ16" s="115" t="n"/>
      <c r="FA16" s="115" t="n"/>
      <c r="FB16" s="115" t="n"/>
      <c r="FC16" s="115" t="n"/>
      <c r="FD16" s="115" t="n"/>
      <c r="FE16" s="348" t="n"/>
      <c r="FF16" s="118">
        <f>IF(AND(functie_1&lt;&gt;"",lambda&lt;&gt;""),lambda*m_schip,"")</f>
        <v/>
      </c>
      <c r="FG16" s="118">
        <f>IF(functie_1&lt;&gt;"",lambda_functie,"")</f>
        <v/>
      </c>
      <c r="FH16" s="118">
        <f>IF(functie_1&lt;&gt;"",ONB_missie,"")</f>
        <v/>
      </c>
      <c r="FI16" s="115">
        <f>FH16</f>
        <v/>
      </c>
      <c r="FJ16" s="118">
        <f>IF(functie_1&lt;&gt;"",ONB_aanvang,"")</f>
        <v/>
      </c>
      <c r="FK16" s="115">
        <f>FJ16</f>
        <v/>
      </c>
      <c r="FL16" s="107" t="n"/>
      <c r="FM16" s="118">
        <f>IF(AND(functie_2&lt;&gt;"",lambda&lt;&gt;""),lambda*m_schip,"")</f>
        <v/>
      </c>
      <c r="FN16" s="118">
        <f>IF(functie_2&lt;&gt;"",lambda_functie,"")</f>
        <v/>
      </c>
      <c r="FO16" s="118">
        <f>IF(functie_2&lt;&gt;"",ONB_missie,"")</f>
        <v/>
      </c>
      <c r="FP16" s="115">
        <f>FO16</f>
        <v/>
      </c>
      <c r="FQ16" s="118">
        <f>IF(functie_2&lt;&gt;"",ONB_aanvang,"")</f>
        <v/>
      </c>
      <c r="FR16" s="115">
        <f>FQ16</f>
        <v/>
      </c>
      <c r="FS16" s="107" t="n"/>
      <c r="FT16" s="118">
        <f>IF(AND(functie_3&lt;&gt;"",lambda&lt;&gt;""),lambda*m_schip,"")</f>
        <v/>
      </c>
      <c r="FU16" s="118">
        <f>IF(functie_3&lt;&gt;"",lambda_functie,"")</f>
        <v/>
      </c>
      <c r="FV16" s="118">
        <f>IF(functie_3&lt;&gt;"",ONB_missie,"")</f>
        <v/>
      </c>
      <c r="FW16" s="115">
        <f>FV16</f>
        <v/>
      </c>
      <c r="FX16" s="118">
        <f>IF(functie_3&lt;&gt;"",ONB_aanvang,"")</f>
        <v/>
      </c>
      <c r="FY16" s="115">
        <f>FX16</f>
        <v/>
      </c>
      <c r="FZ16" s="107" t="n"/>
      <c r="GA16" s="118">
        <f>IF(AND(functie_4&lt;&gt;"",lambda&lt;&gt;""),lambda*m_schip,"")</f>
        <v/>
      </c>
      <c r="GB16" s="118">
        <f>IF(functie_4&lt;&gt;"",lambda_functie,"")</f>
        <v/>
      </c>
      <c r="GC16" s="118">
        <f>IF(functie_4&lt;&gt;"",ONB_missie,"")</f>
        <v/>
      </c>
      <c r="GD16" s="115">
        <f>GC16</f>
        <v/>
      </c>
      <c r="GE16" s="118">
        <f>IF(functie_4&lt;&gt;"",ONB_aanvang,"")</f>
        <v/>
      </c>
      <c r="GF16" s="115">
        <f>GE16</f>
        <v/>
      </c>
      <c r="GG16" s="107" t="n"/>
      <c r="GH16" s="118">
        <f>IF(AND(functie_5&lt;&gt;"",lambda&lt;&gt;""),lambda*m_schip,"")</f>
        <v/>
      </c>
      <c r="GI16" s="118">
        <f>IF(functie_5&lt;&gt;"",lambda_functie,"")</f>
        <v/>
      </c>
      <c r="GJ16" s="118">
        <f>IF(functie_5&lt;&gt;"",ONB_missie,"")</f>
        <v/>
      </c>
      <c r="GK16" s="115">
        <f>GJ16</f>
        <v/>
      </c>
      <c r="GL16" s="118">
        <f>IF(functie_5&lt;&gt;"",ONB_aanvang,"")</f>
        <v/>
      </c>
      <c r="GM16" s="115">
        <f>GL16</f>
        <v/>
      </c>
      <c r="GN16" s="107" t="n"/>
      <c r="GO16" s="118">
        <f>IF(AND(functie_6&lt;&gt;"",lambda&lt;&gt;""),lambda*m_schip,"")</f>
        <v/>
      </c>
      <c r="GP16" s="118">
        <f>IF(functie_6&lt;&gt;"",lambda_functie,"")</f>
        <v/>
      </c>
      <c r="GQ16" s="118">
        <f>IF(functie_6&lt;&gt;"",ONB_missie,"")</f>
        <v/>
      </c>
      <c r="GR16" s="115">
        <f>GQ16</f>
        <v/>
      </c>
      <c r="GS16" s="118">
        <f>IF(functie_6&lt;&gt;"",ONB_aanvang,"")</f>
        <v/>
      </c>
      <c r="GT16" s="115">
        <f>GS16</f>
        <v/>
      </c>
      <c r="GU16" s="107" t="n"/>
      <c r="GV16" s="118">
        <f>IF(AND(functie_7&lt;&gt;"",lambda&lt;&gt;""),lambda*m_schip,"")</f>
        <v/>
      </c>
      <c r="GW16" s="118">
        <f>IF(functie_7&lt;&gt;"",lambda_functie,"")</f>
        <v/>
      </c>
      <c r="GX16" s="118">
        <f>IF(functie_7&lt;&gt;"",ONB_missie,"")</f>
        <v/>
      </c>
      <c r="GY16" s="115">
        <f>GX16</f>
        <v/>
      </c>
      <c r="GZ16" s="118">
        <f>IF(functie_7&lt;&gt;"",ONB_aanvang,"")</f>
        <v/>
      </c>
      <c r="HA16" s="115">
        <f>GZ16</f>
        <v/>
      </c>
      <c r="HB16" s="107" t="n"/>
      <c r="HC16" s="118">
        <f>IF(AND(functie_8&lt;&gt;"",lambda&lt;&gt;""),lambda*m_schip,"")</f>
        <v/>
      </c>
      <c r="HD16" s="118">
        <f>IF(functie_8&lt;&gt;"",lambda_functie,"")</f>
        <v/>
      </c>
      <c r="HE16" s="118">
        <f>IF(functie_8&lt;&gt;"",ONB_missie,"")</f>
        <v/>
      </c>
      <c r="HF16" s="115">
        <f>HE16</f>
        <v/>
      </c>
      <c r="HG16" s="118">
        <f>IF(functie_8&lt;&gt;"",ONB_aanvang,"")</f>
        <v/>
      </c>
      <c r="HH16" s="115">
        <f>HG16</f>
        <v/>
      </c>
      <c r="HI16" s="107" t="n"/>
      <c r="HJ16" s="118">
        <f>IF(AND(functie_9&lt;&gt;"",lambda&lt;&gt;""),lambda*m_schip,"")</f>
        <v/>
      </c>
      <c r="HK16" s="118">
        <f>IF(functie_9&lt;&gt;"",lambda_functie,"")</f>
        <v/>
      </c>
      <c r="HL16" s="118">
        <f>IF(functie_9&lt;&gt;"",ONB_missie,"")</f>
        <v/>
      </c>
      <c r="HM16" s="115">
        <f>HL16</f>
        <v/>
      </c>
      <c r="HN16" s="118">
        <f>IF(functie_9&lt;&gt;"",ONB_aanvang,"")</f>
        <v/>
      </c>
      <c r="HO16" s="115">
        <f>HN16</f>
        <v/>
      </c>
      <c r="HP16" s="107" t="n"/>
      <c r="HQ16" s="118">
        <f>IF(AND(functie_10&lt;&gt;"",lambda&lt;&gt;""),lambda*m_schip,"")</f>
        <v/>
      </c>
      <c r="HR16" s="118">
        <f>IF(functie_10&lt;&gt;"",lambda_functie,"")</f>
        <v/>
      </c>
      <c r="HS16" s="118">
        <f>IF(functie_10&lt;&gt;"",ONB_missie,"")</f>
        <v/>
      </c>
      <c r="HT16" s="115">
        <f>HS16</f>
        <v/>
      </c>
      <c r="HU16" s="118">
        <f>IF(functie_10&lt;&gt;"",ONB_aanvang,"")</f>
        <v/>
      </c>
      <c r="HV16" s="115">
        <f>HU16</f>
        <v/>
      </c>
      <c r="HW16" s="353" t="n"/>
      <c r="HX16" s="113" t="n"/>
      <c r="HY16" s="353" t="n"/>
      <c r="HZ16" s="353" t="n"/>
      <c r="IA16" s="353" t="n"/>
      <c r="IB16" s="353" t="n"/>
      <c r="IC16" s="353" t="n"/>
      <c r="ID16" s="353" t="n"/>
      <c r="IE16" s="353" t="n"/>
      <c r="IF16" s="353" t="n"/>
      <c r="IG16" s="353" t="n"/>
      <c r="IH16" s="353" t="n"/>
      <c r="II16" s="353" t="n"/>
      <c r="IJ16" s="353" t="n"/>
      <c r="IK16" s="353" t="n"/>
      <c r="IL16" s="353" t="n"/>
      <c r="IM16" s="353" t="n"/>
      <c r="IN16" s="353" t="n"/>
      <c r="IO16" s="353" t="n"/>
      <c r="IP16" s="353" t="n"/>
      <c r="IQ16" s="353" t="n"/>
      <c r="IR16" s="353" t="n"/>
      <c r="IS16" s="353" t="n"/>
      <c r="IT16" s="353" t="n"/>
      <c r="IU16" s="353" t="n"/>
      <c r="IV16" s="353" t="n"/>
    </row>
    <row r="17" hidden="1" customFormat="1" s="353">
      <c r="A17" s="99" t="n"/>
      <c r="B17" s="115" t="n"/>
      <c r="C17" s="115" t="n"/>
      <c r="D17" s="115" t="inlineStr"/>
      <c r="E17" s="115" t="inlineStr"/>
      <c r="F17" s="115" t="inlineStr"/>
      <c r="G17" s="115" t="inlineStr"/>
      <c r="H17" s="115" t="inlineStr"/>
      <c r="I17" s="115" t="inlineStr"/>
      <c r="J17" s="115" t="inlineStr"/>
      <c r="K17" s="115" t="inlineStr"/>
      <c r="L17" s="58" t="inlineStr">
        <is>
          <t>Niet invullen, niet weggooien</t>
        </is>
      </c>
      <c r="M17" s="58" t="n"/>
      <c r="N17" s="58" t="n"/>
      <c r="O17" s="119" t="n"/>
      <c r="P17" s="115" t="n"/>
      <c r="Q17" s="115" t="n"/>
      <c r="R17" s="115" t="n"/>
      <c r="S17" s="115" t="n"/>
      <c r="T17" s="115" t="n"/>
      <c r="U17" s="115" t="n"/>
      <c r="V17" s="107" t="n"/>
      <c r="W17" s="115" t="n"/>
      <c r="X17" s="115" t="n"/>
      <c r="Y17" s="107" t="n"/>
      <c r="Z17" s="115" t="n"/>
      <c r="AA17" s="115" t="n"/>
      <c r="AB17" s="115" t="n"/>
      <c r="AC17" s="107" t="n"/>
      <c r="AD17" s="114" t="n"/>
      <c r="AE17" s="110" t="n"/>
      <c r="AF17" s="115" t="n"/>
      <c r="AG17" s="107" t="n"/>
      <c r="AH17" s="107" t="n"/>
      <c r="AI17" s="350" t="n"/>
      <c r="AJ17" s="128" t="n"/>
      <c r="AK17" s="110" t="n"/>
      <c r="AL17" s="128" t="n"/>
      <c r="AM17" s="128" t="n"/>
      <c r="AN17" s="128" t="n"/>
      <c r="AO17" s="107" t="n"/>
      <c r="AP17" s="128" t="n"/>
      <c r="AQ17" s="128" t="n"/>
      <c r="AR17" s="128" t="n"/>
      <c r="AS17" s="128" t="n"/>
      <c r="AT17" s="128" t="n"/>
      <c r="AU17" s="128" t="n"/>
      <c r="AV17" s="107" t="n"/>
      <c r="AW17" s="126" t="n"/>
      <c r="AX17" s="107" t="n"/>
      <c r="AY17" s="127">
        <f>IF(Periodiciteit&lt;&gt;"",(uurtarief_wd*(IF(ISNUMBER(tijd_wd),tijd_wd,0))+uurtarief_td*(IF(ISNUMBER(tijd_td),tijd_td,0))+uurtarief_sb*(IF(ISNUMBER(tijd_sb),tijd_sb,0))+uurtarief_rw*(IF(ISNUMBER(tijd_rw),tijd_rw,0))+uurtarief_d*(IF(ISNUMBER(tijd_d),tijd_d,0))+uurtarief_3*(IF(ISNUMBER(tijd_3),tijd_3,0)) +(IF(ISNUMBER(f_vast),f_vast,0)))*(IF(Perio_int="j",1,IF(Perio_int="m",12,IF(Perio_int="w",52,IF(Perio_int="d",365,0)))))*Periodiciteit*aantal_componenten,"")</f>
        <v/>
      </c>
      <c r="AZ17" s="107" t="n"/>
      <c r="BA17" s="126" t="n"/>
      <c r="BB17" s="107" t="n"/>
      <c r="BC17" s="126">
        <f>IF(AND(Periodiciteit&lt;&gt;"",Kosten_res_pk&lt;&gt;""), Kosten_res_pk*(IF(Perio_int="j",1,IF(Perio_int="m",12,IF(Perio_int="w",52,IF(Perio_int="d",365,0)))))*Periodiciteit*aantal_componenten,"")</f>
        <v/>
      </c>
      <c r="BD17" s="107" t="n"/>
      <c r="BE17" s="128" t="n"/>
      <c r="BF17" s="107" t="n"/>
      <c r="BG17" s="126">
        <f>IF(Kosten_res_trade &lt;&gt;"", Kosten_res_trade, Kosten_res_jaar )</f>
        <v/>
      </c>
      <c r="BH17" s="107" t="n"/>
      <c r="BI17" s="128" t="n"/>
      <c r="BJ17" s="107" t="n"/>
      <c r="BK17" s="128">
        <f>IF(AND(Periodiciteit&lt;&gt;"",Gevolgkosten&lt;&gt;""), Gevolgkosten*(IF(Perio_int="j",1,IF(Perio_int="m",12,IF(Perio_int="w",52,IF(Perio_int="d",365,0)))))*Periodiciteit*aantal_componenten,"")</f>
        <v/>
      </c>
      <c r="BL17" s="107" t="n"/>
      <c r="BM17" s="129" t="n"/>
      <c r="BN17" s="128" t="n"/>
      <c r="BO17" s="128" t="n"/>
      <c r="BP17" s="128" t="n"/>
      <c r="BQ17" s="107" t="n"/>
      <c r="BR17" s="128" t="n"/>
      <c r="BS17" s="128" t="n"/>
      <c r="BT17" s="128" t="n"/>
      <c r="BU17" s="107" t="n"/>
      <c r="BV17" s="128" t="n"/>
      <c r="BW17" s="128" t="n"/>
      <c r="BX17" s="128" t="n"/>
      <c r="BY17" s="128" t="n"/>
      <c r="BZ17" s="107" t="n"/>
      <c r="CA17" s="64" t="n"/>
      <c r="CB17" s="66">
        <f>IF(lambda_fabrikant&lt;&gt;"","?","")</f>
        <v/>
      </c>
      <c r="CC17" s="66">
        <f>IF(lambda_fabrikant&lt;&gt;"","?","")</f>
        <v/>
      </c>
      <c r="CD17" s="64">
        <f>IF( OR(CO_rep&lt;&gt;"",CO_verv&lt;&gt;""),IF(lambda_fabrikant&lt;&gt;"",IF(Uitvoeren_missie="N", (1-EXP(-aantal_componenten*lambda_fabrikant*Missieduur*p_gebruik_missie))/Missieduur/aantal_componenten,
IF(doorlooptijd_missie_i &lt;&gt; 0,((aantal_componenten*lambda_fabrikant*(1/doorlooptijd_missie_i)/(aantal_componenten*lambda_fabrikant+1/doorlooptijd_missie_i))*Missieduur*p_gebruik_missie+(aantal_componenten*lambda_fabrikant)^2/(aantal_componenten*lambda_fabrikant+1/doorlooptijd_missie_i)^2*(1-EXP(-(aantal_componenten*lambda_fabrikant+1/doorlooptijd_missie_i)*Missieduur*p_gebruik_missie)))/Missieduur/aantal_componenten,lambda_fabrikant*p_gebruik_missie)),""),"")</f>
        <v/>
      </c>
      <c r="CE17" s="64">
        <f>IF( OR(CO_rep&lt;&gt;"",CO_verv&lt;&gt;""),IF(lambda_fabrikant&lt;&gt;"",IF(uitvoeren_GO = "J", (1-EXP(-(aantal_componenten*lambda_fabrikant*p_gebruik_wal* interval_groot_onderhoud/8760*Missies_per_jaar*walduur)))/ (interval_groot_onderhoud/8760*Missies_per_jaar*walduur) / aantal_componenten,IF(doorlooptijd_wal_i &lt;&gt; 0,((aantal_componenten*lambda_fabrikant*(1/doorlooptijd_wal_i)/(aantal_componenten*lambda_fabrikant+1/doorlooptijd_wal_i))*walduur*p_gebruik_wal+(aantal_componenten*lambda_fabrikant)^2/(aantal_componenten*lambda_fabrikant+1/doorlooptijd_wal_i)^2*(1-EXP(-(aantal_componenten*lambda_fabrikant+1/doorlooptijd_wal_i)*walduur*p_gebruik_wal)))/walduur/aantal_componenten,lambda_fabrikant*p_gebruik_wal)),""),"")</f>
        <v/>
      </c>
      <c r="CF17" s="64">
        <f>IF( OR(CO_rep&lt;&gt;"",CO_verv&lt;&gt;""),
IF(OR(lambda_missie_g&lt;&gt;"",lambda_wal_g&lt;&gt;""), "",  IF(Perio_int="j",1/8760,  IF(Perio_int="m",12/8760,  IF(Perio_int="w",52/8760,  IF(Perio_int="d",365/8760,"error") ) ) )*Periodiciteit),"")</f>
        <v/>
      </c>
      <c r="CG17" s="66">
        <f>IF(OR(CO_rep&lt;&gt;"",CO_verv&lt;&gt;""),1,"")</f>
        <v/>
      </c>
      <c r="CH17" s="64">
        <f>IF( OR(CO_rep&lt;&gt;"",CO_verv&lt;&gt;""),IF(lambda_fabrikant="",lambda_kalendertijd*missiepercentage*8760/(Missies_per_jaar*Missieduur),""),"")</f>
        <v/>
      </c>
      <c r="CI17" s="64">
        <f>IF( OR(CO_rep&lt;&gt;"",CO_verv&lt;&gt;""),IF(lambda_fabrikant="",lambda_kalendertijd*(1-missiepercentage)*8760/(Missies_per_jaar*walduur),""),"")</f>
        <v/>
      </c>
      <c r="CJ17" s="64">
        <f>IF( OR(CO_rep&lt;&gt;"",CO_verv&lt;&gt;""),
IF(OR(lambda_missie_g&lt;&gt;"",lambda_wal_g&lt;&gt;""), (lambda_missie_g*Missieduur + lambda_wal_g*walduur)/8760*Missies_per_jaar, lambda_kalendertijd),"")</f>
        <v/>
      </c>
      <c r="CK17" s="64">
        <f>IF(lambda&lt;&gt;"",m_schip*lambda,"")</f>
        <v/>
      </c>
      <c r="CL17" s="65">
        <f>IF(OR(CO_rep&lt;&gt;"",CO_verv&lt;&gt;""),IF(Redundantie = "J","?",1),"")</f>
        <v/>
      </c>
      <c r="CM17" s="64">
        <f>IF(lambda&lt;&gt;"",IF(Redundantie="J",IF(lambda_missie_g&lt;&gt;"",lambda_missie_g*redundantie_factor,lambda_missie*redundantie_factor),IF(lambda_missie_g&lt;&gt;"",lambda_missie_g*m_schip,lambda_missie*m_schip)),"")</f>
        <v/>
      </c>
      <c r="CN17" s="64">
        <f>IF(lambda&lt;&gt;"",lambda_functie*Missieduur*Missies_per_jaar/8760,"")</f>
        <v/>
      </c>
      <c r="CO17" s="64">
        <f>IF(lambda&lt;&gt;"",IF(Redundantie="J",IF(lambda_wal_g&lt;&gt;"",lambda_wal_g*redundantie_factor,lambda_wal*redundantie_factor),IF(lambda_wal_g&lt;&gt;"",lambda_wal_g*m_schip,lambda_wal*m_schip)),"")</f>
        <v/>
      </c>
      <c r="CP17" s="64">
        <f>IF(lambda&lt;&gt;"",lambda_functie_wal*walduur*Missies_per_jaar/8760,"")</f>
        <v/>
      </c>
      <c r="CQ17" s="107" t="n"/>
      <c r="CR17" s="115">
        <f>IF(OR(CO_verv&lt;&gt;"",CO_rep&lt;&gt;""),aantal_componenten,"")</f>
        <v/>
      </c>
      <c r="CS17" s="66">
        <f>IF( OR(CO_rep&lt;&gt;"",CO_verv&lt;&gt;""),IF(Aantal_res_boord=0,1,IF(lambda_missie_g&lt;&gt;"",1-POISSON(Aantal_res_boord-1,m_schip*lambda_missie_g*Missieduur,TRUE),1-POISSON(Aantal_res_boord-1,m_schip*lambda_missie*Missieduur,TRUE))),"")</f>
        <v/>
      </c>
      <c r="CT17" s="107" t="n"/>
      <c r="CU17" s="115">
        <f>IF(OR(CO_verv&lt;&gt;"",CO_rep&lt;&gt;""),Aantal_fregatten * m_schip,"")</f>
        <v/>
      </c>
      <c r="CV17" s="65">
        <f>IF(AND(lambda&gt;0,Aantal_ini_wal&gt;=0,Aantal_res_wal&lt;&gt;""),IF(Aantal_ini_wal&gt;Aantal_res_wal,(Aantal_ini_wal-Aantal_res_wal)/(m_vloot*lambda*8760),0),"")</f>
        <v/>
      </c>
      <c r="CW17" s="65">
        <f>IF(AND(lambda&gt;0,Aantal_max_wal&gt;=0,Aantal_res_wal&lt;&gt;""),IF(Aantal_max_wal&gt;Aantal_res_wal,(Aantal_max_wal-Aantal_res_wal)/(m_vloot*lambda*8760),0),"")</f>
        <v/>
      </c>
      <c r="CX17" s="68">
        <f>IF(AND(ini_periode&lt;&gt;"",bestel_interval&lt;&gt;"",besteltijd&lt;&gt;""),IF(ini_periode&gt;=Looptijd,0,
IF(bestel_interval&gt;=(Looptijd-ini_periode),IF(besteltijd&lt;(Looptijd-ini_periode),besteltijd/8760/Looptijd,(Looptijd-ini_periode)/Looptijd),
IF(((Looptijd-ini_periode)-(INT((Looptijd-ini_periode)/(besteltijd/8760+bestel_interval))))&gt;=besteltijd/8760,(1+INT((Looptijd-ini_periode)/(besteltijd/8760+bestel_interval)))*(besteltijd/8760)/Looptijd,(INT((Looptijd-ini_periode)/(besteltijd/8760+bestel_interval))*(besteltijd/8760)+((Looptijd-ini_periode)-(INT((Looptijd-ini_periode)/(besteltijd/8760+bestel_interval)))*(besteltijd/8760+bestel_interval)))/Looptijd))),"")</f>
        <v/>
      </c>
      <c r="CY17" s="66">
        <f>IF( OR(CO_rep&lt;&gt;"",CO_verv&lt;&gt;""),
  IF( Aantal_res_wal+(Aantal_fregatten-1)*Aantal_res_boord=0, 1*IF(percentage_looptijd_inbestelling&lt;&gt;"",percentage_looptijd_inbestelling,1),
(1-POISSON(Aantal_res_wal-1+(Aantal_fregatten-1)*Aantal_res_boord, m_vloot*lambda*besteltijd,TRUE))*IF(percentage_looptijd_inbestelling&lt;&gt;"",percentage_looptijd_inbestelling,1)),"")</f>
        <v/>
      </c>
      <c r="CZ17" s="66">
        <f>IF( OR(CO_rep&lt;&gt;"",CO_verv&lt;&gt;""),IF( Aantal_res_wal=0,1,  1-POISSON(Aantal_res_boord+Aantal_res_wal-1, m_vloot*lambda*besteltijd,TRUE)   ),"")</f>
        <v/>
      </c>
      <c r="DA17" s="107" t="n"/>
      <c r="DB17" s="115">
        <f>IF(OR(Uitvoeren_missie&lt;&gt;"J",uitvoeren_bedrijf="J",uitvoeren_GO="J"), "",
  IF(TAO_revisie&lt;&gt;"",  TAO_rev_verv_tijd,
  IF(TAO_vervanging&lt;&gt;"",  TAO_rev_verv_tijd,
  IF(PO_doorlooptijd&lt;&gt;0,  PO_doorlooptijd,"" ))))</f>
        <v/>
      </c>
      <c r="DC17" s="107" t="n"/>
      <c r="DD17" s="115">
        <f>IF(AND(CO_rep&lt;&gt;"", Uitvoeren_missie="N"), Missieduur,
  IF(AND(CO_rep&lt;&gt;"", Uitvoeren_missie="J"), CO_zoektijd + CO_rep_verv_tijd,""))</f>
        <v/>
      </c>
      <c r="DE17" s="115">
        <f>IF(AND(CO_verv&lt;&gt;"", Uitvoeren_missie="N"), Missieduur,
  IF(AND(CO_verv&lt;&gt;"", Uitvoeren_missie="J"), CO_zoektijd + CO_rep_verv_tijd,""))</f>
        <v/>
      </c>
      <c r="DF17" s="115">
        <f>IF(AND(CO_verv&lt;&gt;"", Uitvoeren_missie="N"), Missieduur,
  IF(AND(CO_verv&lt;&gt;"", Uitvoeren_missie="J"), wachttijd_invlieg+CO_zoektijd + CO_rep_verv_tijd,""))</f>
        <v/>
      </c>
      <c r="DG17" s="115">
        <f>IF(AND(CO_verv&lt;&gt;"", Uitvoeren_missie="N"), Missieduur,
  IF(AND(CO_verv&lt;&gt;"", Uitvoeren_missie="J"), besteltijd + wachttijd_invlieg + CO_zoektijd + CO_rep_verv_tijd,""))</f>
        <v/>
      </c>
      <c r="DH17" s="115">
        <f> IF(AND(doorlooptijd_missie_met&lt;&gt;"",CO_verv&lt;&gt;""),    P_op_boord* ( P_op_vloot*doorlooptijd_missie_zonder  +  (1-P_op_vloot)*doorlooptijd_invlieg  ) + (1-P_op_boord)* doorlooptijd_missie_met, "")</f>
        <v/>
      </c>
      <c r="DI17" s="115">
        <f>IF(CO_rep&lt;&gt;"",doorlooptijd_missie_rep,IF(AND(CO_verv&lt;&gt;"",Aantal_res_boord&lt;&gt;"",Aantal_res_boord&lt;&gt;0),doorlooptijd_missie_met,IF(AND(CO_verv&lt;&gt;"",Aantal_max_wal&lt;&gt;"",Aantal_max_wal&lt;&gt;0),doorlooptijd_invlieg,doorlooptijd_missie_zonder)))</f>
        <v/>
      </c>
      <c r="DJ17" s="115">
        <f>IF(doorlooptijd_missie_verv&lt;&gt;"", doorlooptijd_missie_verv, IF(doorlooptijd_missie_rep&lt;&gt;"", doorlooptijd_missie_rep,""))</f>
        <v/>
      </c>
      <c r="DK17" s="107" t="n"/>
      <c r="DL17" s="115">
        <f>  IF(CO_rep&lt;&gt;"", CO_zoektijd + CO_rep_verv_tijd,"")</f>
        <v/>
      </c>
      <c r="DM17" s="115">
        <f>  IF(AND(CO_verv&lt;&gt;"",CO_rep=""), wachttijd_wal+CO_zoektijd + CO_rep_verv_tijd,"")</f>
        <v/>
      </c>
      <c r="DN17" s="115">
        <f> IF(AND(CO_verv&lt;&gt;"",CO_rep=""), wachttijd_invlieg+CO_zoektijd + CO_rep_verv_tijd,"")</f>
        <v/>
      </c>
      <c r="DO17" s="115">
        <f>IF(AND(CO_verv&lt;&gt;"",CO_rep=""), besteltijd + wachttijd_wal + CO_zoektijd + CO_rep_verv_tijd,"")</f>
        <v/>
      </c>
      <c r="DP17" s="69">
        <f> IF(AND(doorlooptijd_van_wal&lt;&gt;"",CO_verv&lt;&gt;""),     P_op_vloot*doorlooptijd_wal_zonder  +
     (1-P_op_vloot)*(P_op_wal*Doorlooptijd_transport+ (1-P_op_wal)*doorlooptijd_van_wal  ),   "")</f>
        <v/>
      </c>
      <c r="DQ17" s="115">
        <f>IF(CO_rep&lt;&gt;"",doorlooptijd_wal_rep,IF(AND(CO_verv&lt;&gt;"",AND(Aantal_res_boord&lt;&gt;"",Aantal_res_boord&lt;&gt;0)),doorlooptijd_van_wal,IF(AND(CO_verv&lt;&gt;"",AND(Aantal_max_wal&lt;&gt;"",Aantal_max_wal&lt;&gt;0)),Doorlooptijd_transport,doorlooptijd_wal_zonder)))</f>
        <v/>
      </c>
      <c r="DR17" s="115">
        <f>IF(doorlooptijd_wal_verv&lt;&gt;"", doorlooptijd_wal_verv, IF(doorlooptijd_wal_rep&lt;&gt;"", doorlooptijd_wal_rep,""))</f>
        <v/>
      </c>
      <c r="DS17" s="107" t="n"/>
      <c r="DT17" s="64">
        <f>IF(OR(CO_verv&lt;&gt;"",CO_rep&lt;&gt;""),IF(lambda_functie&lt;&gt;"",ONB_missie_tussenberekening_1 + ONB_missie_tussenberekening_2,""),"")</f>
        <v/>
      </c>
      <c r="DU17" s="64">
        <f>IF(OR(CO_rep&lt;&gt;"",CO_verv&lt;&gt;""),IF(lambda_functie&lt;&gt;"",IF(Uitvoeren_missie="N",1-(1-EXP(-lambda_functie*Missieduur))/(lambda_functie*Missieduur),IF(CO_verv&lt;&gt;"",
(1-P_op_boord)*IF(doorlooptijd_missie_met&lt;&gt;0,lambda_functie/(lambda_functie+(1/doorlooptijd_missie_met))-lambda_functie/((lambda_functie+(1/doorlooptijd_missie_met))^2*Missieduur)*(1-EXP(-(lambda_functie+(1/doorlooptijd_missie_met))*Missieduur)),0)+P_op_boord*((1-P_op_vloot)*IF(doorlooptijd_invlieg&lt;&gt;0,lambda_functie/(lambda_functie+(1 /doorlooptijd_invlieg))-lambda_functie/((lambda_functie+(1/doorlooptijd_invlieg))^2*Missieduur)*(1-EXP(-(lambda_functie+(1/doorlooptijd_invlieg))*Missieduur)),0)+P_op_vloot*IF(doorlooptijd_missie_zonder&lt;&gt;0,lambda_functie/(lambda_functie+(1/doorlooptijd_missie_zonder))-lambda_functie/((lambda_functie+(1/doorlooptijd_missie_zonder))^2*Missieduur)*(1-EXP(-(lambda_functie+(1/doorlooptijd_missie_zonder))*Missieduur)),0)),0)),0),"")</f>
        <v/>
      </c>
      <c r="DV17" s="64">
        <f>IF(OR(CO_rep&lt;&gt;"",CO_verv&lt;&gt;""),IF(lambda_functie&lt;&gt;"",IF(CO_rep&lt;&gt;"",
IF(doorlooptijd_missie_rep&lt;&gt;0,lambda_functie/(lambda_functie+(1/doorlooptijd_missie_rep))-lambda_functie/((lambda_functie+(1/doorlooptijd_missie_rep))^2*Missieduur)*(1-EXP(-(lambda_functie+(1/doorlooptijd_missie_rep))*Missieduur)),0),0)),"")</f>
        <v/>
      </c>
      <c r="DW17" s="66">
        <f>IF(ONB_missie="","",IF(tot_ONB_missie&lt;&gt;0,ONB_missie/tot_ONB_missie,0))</f>
        <v/>
      </c>
      <c r="DX17" s="115">
        <f>IF(Lijst_componenten="","", IF(OR(DT17=0,DT17=""),DX16,  IF(DX16="",DT17,1-(1-DT17)*(1-DX16))))</f>
        <v/>
      </c>
      <c r="DY17" s="107" t="n"/>
      <c r="DZ17" s="96">
        <f>IF(OR(CO_rep&lt;&gt;"",CO_verv&lt;&gt;""),IF(uitvoeren_GO="J",ONB_tussenberekening_1,IF(CO_rep&lt;&gt;"",ONB_tussenberekening_2,ONB_tussenberekening_3+ONB_tussenberekening_4+ONB_tussenberekening_5)),"")</f>
        <v/>
      </c>
      <c r="EA17" s="96">
        <f>IF(OR(CO_rep&lt;&gt;"",CO_verv&lt;&gt;""),IF(AND(OR(lambda_functie_kalendertijd&lt;&gt;"",lambda_functie_wal_kalendertijd&lt;&gt;""),uitvoeren_GO="J"),
1-(1-EXP(-(lambda_functie_kalendertijd+lambda_functie_wal_kalendertijd)*interval_groot_onderhoud))
/((lambda_functie_kalendertijd+lambda_functie_wal_kalendertijd)*interval_groot_onderhoud),0),"")</f>
        <v/>
      </c>
      <c r="EB17" s="96">
        <f>IF(OR(CO_rep&lt;&gt;"",CO_verv&lt;&gt;""),IF(AND(CO_rep &lt;&gt;"",OR(doorlooptijd_missie_rep&gt;=walduur,doorlooptijd_wal_rep &gt;= walduur)),IF(doorlooptijd_missie_rep &gt;= walduur,lambda_functie_kalendertijd / (lambda_functie_kalendertijd + 1/doorlooptijd_missie_rep),0)
 + IF(doorlooptijd_wal_rep &gt;= walduur,lambda_functie_wal_kalendertijd / (lambda_functie_wal_kalendertijd + 1/doorlooptijd_wal_rep),0),IF(CO_rep &lt;&gt; "",(1 -EXP(-(lambda_functie_wal_kalendertijd + 1 / doorlooptijd_wal_rep)*walduur))
*  lambda_functie_wal_kalendertijd / (lambda_functie_wal_kalendertijd + 1/ doorlooptijd_wal_rep),0)),"")</f>
        <v/>
      </c>
      <c r="EC17" s="96">
        <f>IF(OR(CO_rep&lt;&gt;"",CO_verv&lt;&gt;""),IF(CO_verv&lt;&gt;"",
P_op_boord* ( P_op_vloot*IF(doorlooptijd_missie_zonder&gt;=walduur, lambda_functie_kalendertijd / (lambda_functie_kalendertijd + 1/doorlooptijd_missie_zonder),0)+ (1- P_op_vloot)*IF(doorlooptijd_invlieg&gt;=walduur, lambda_functie_kalendertijd / (lambda_functie_kalendertijd + 1 /doorlooptijd_invlieg),0) )
+ (1- P_op_boord) * IF(doorlooptijd_missie_met&gt;=walduur,lambda_functie_kalendertijd / (lambda_functie_kalendertijd  + 1 / doorlooptijd_missie_met),0),0),"")</f>
        <v/>
      </c>
      <c r="ED17" s="96">
        <f>IF(OR(CO_rep&lt;&gt;"",CO_verv&lt;&gt;""),IF(CO_verv &lt;&gt;"",
(1-P_op_vloot)*((1 - P_op_wal)*IF(doorlooptijd_van_wal&gt;=walduur,lambda_functie_wal_kalendertijd/(lambda_functie_wal_kalendertijd+ 1/ doorlooptijd_van_wal),0)
+ P_op_wal*IF(Doorlooptijd_transport&gt;=walduur,lambda_functie_wal_kalendertijd / (lambda_functie_wal_kalendertijd +1/Doorlooptijd_transport),0) )+ P_op_vloot*IF(doorlooptijd_wal_zonder&gt;=walduur, lambda_functie_wal_kalendertijd / (lambda_functie_wal_kalendertijd + 1/ doorlooptijd_wal_zonder),0),0),"")</f>
        <v/>
      </c>
      <c r="EE17" s="96">
        <f>IF(OR(CO_rep&lt;&gt;"",CO_verv&lt;&gt;""),IF(CO_verv &lt;&gt;"",
(1-P_op_vloot)* ( (1- P_op_wal)* (IF(AND(doorlooptijd_van_wal&lt;&gt;0,doorlooptijd_van_wal&lt;walduur),(1 -EXP(-(lambda_functie_wal_kalendertijd + 1 / doorlooptijd_van_wal)*walduur))
*  lambda_functie_wal_kalendertijd / (lambda_functie_wal_kalendertijd + 1/ doorlooptijd_van_wal),0))
+ P_op_wal*(IF(AND(Doorlooptijd_transport&lt;&gt;0,Doorlooptijd_transport&lt;walduur),(1 -EXP(-(lambda_functie_wal_kalendertijd + 1 / Doorlooptijd_transport)*walduur))
* lambda_functie_wal_kalendertijd /(lambda_functie_wal_kalendertijd + 1/ Doorlooptijd_transport),0)))
 + P_op_vloot*(IF(AND(doorlooptijd_wal_zonder&lt;&gt;0,doorlooptijd_wal_zonder&lt;walduur),(1 -EXP(-(lambda_functie_wal_kalendertijd + 1 / doorlooptijd_wal_zonder)*walduur))
*  lambda_functie_wal_kalendertijd / (lambda_functie_wal_kalendertijd + 1/ doorlooptijd_wal_zonder),0)),0),"")</f>
        <v/>
      </c>
      <c r="EF17" s="66">
        <f>IF(ONB_aanvang="","",IF(tot_ONB_aanvang&lt;&gt;0,ONB_aanvang/tot_ONB_aanvang,0))</f>
        <v/>
      </c>
      <c r="EG17" s="115">
        <f>IF(Lijst_componenten="","", IF(OR(DZ17=0,DZ17=""),EG16,  IF(EG16="",DZ17,1-(1-DZ17)*(1-EG16))))</f>
        <v/>
      </c>
      <c r="EH17" s="107" t="n"/>
      <c r="EI17" s="116" t="n"/>
      <c r="EJ17" s="71" t="n"/>
      <c r="EK17" s="120" t="n"/>
      <c r="EL17" s="119" t="n"/>
      <c r="EM17" s="107" t="n"/>
      <c r="EN17" s="72" t="n"/>
      <c r="EO17" s="107" t="n"/>
      <c r="EP17" s="107" t="n"/>
      <c r="EQ17" s="119" t="n"/>
      <c r="ER17" s="120" t="n"/>
      <c r="ES17" s="119" t="n"/>
      <c r="ET17" s="119" t="n"/>
      <c r="EU17" s="115" t="n"/>
      <c r="EV17" s="115" t="n"/>
      <c r="EW17" s="115" t="n"/>
      <c r="EX17" s="118" t="n"/>
      <c r="EY17" s="118" t="n"/>
      <c r="EZ17" s="118" t="n"/>
      <c r="FA17" s="115" t="n"/>
      <c r="FB17" s="118" t="n"/>
      <c r="FC17" s="115" t="n"/>
      <c r="FD17" s="115" t="n"/>
      <c r="FE17" s="348" t="n"/>
      <c r="FF17" s="118">
        <f>IF(AND(functie_1&lt;&gt;"",lambda&lt;&gt;""),lambda*m_schip,"")</f>
        <v/>
      </c>
      <c r="FG17" s="118">
        <f>IF(functie_1&lt;&gt;"",lambda_functie,"")</f>
        <v/>
      </c>
      <c r="FH17" s="118">
        <f>IF(functie_1&lt;&gt;"",ONB_missie,"")</f>
        <v/>
      </c>
      <c r="FI17" s="115">
        <f>IF(Lijst_componenten="","", IF(OR(FH17=0,FH17=""),FI16,  IF(FI16="",FH17,1-(1-FH17)*(1-FI16))))</f>
        <v/>
      </c>
      <c r="FJ17" s="118">
        <f>IF(functie_1&lt;&gt;"",ONB_aanvang,"")</f>
        <v/>
      </c>
      <c r="FK17" s="115">
        <f>IF(Lijst_componenten="","", IF(OR(FJ17=0,FJ17=""),FK16,  IF(FK16="",FJ17,1-(1-FJ17)*(1-FK16))))</f>
        <v/>
      </c>
      <c r="FL17" s="107" t="n"/>
      <c r="FM17" s="118">
        <f>IF(AND(functie_2&lt;&gt;"",lambda&lt;&gt;""),lambda*m_schip,"")</f>
        <v/>
      </c>
      <c r="FN17" s="118">
        <f>IF(functie_2&lt;&gt;"",lambda_functie,"")</f>
        <v/>
      </c>
      <c r="FO17" s="118">
        <f>IF(functie_2&lt;&gt;"",ONB_missie,"")</f>
        <v/>
      </c>
      <c r="FP17" s="115">
        <f>IF(Lijst_componenten="","", IF(OR(FO17=0,FO17=""),FP16,  IF(FP16="",FO17,1-(1-FO17)*(1-FP16))))</f>
        <v/>
      </c>
      <c r="FQ17" s="118">
        <f>IF(functie_2&lt;&gt;"",ONB_aanvang,"")</f>
        <v/>
      </c>
      <c r="FR17" s="115">
        <f>IF(Lijst_componenten="","", IF(OR(FQ17=0,FQ17=""),FR16,  IF(FR16="",FQ17,1-(1-FQ17)*(1-FR16))))</f>
        <v/>
      </c>
      <c r="FS17" s="353" t="n"/>
      <c r="FT17" s="118">
        <f>IF(AND(functie_3&lt;&gt;"",lambda&lt;&gt;""),lambda*m_schip,"")</f>
        <v/>
      </c>
      <c r="FU17" s="118">
        <f>IF(functie_3&lt;&gt;"",lambda_functie,"")</f>
        <v/>
      </c>
      <c r="FV17" s="118">
        <f>IF(functie_3&lt;&gt;"",ONB_missie,"")</f>
        <v/>
      </c>
      <c r="FW17" s="115">
        <f>IF(Lijst_componenten="","", IF(OR(FV17=0,FV17=""),FW16,  IF(FW16="",FV17,1-(1-FV17)*(1-FW16))))</f>
        <v/>
      </c>
      <c r="FX17" s="118">
        <f>IF(functie_3&lt;&gt;"",ONB_aanvang,"")</f>
        <v/>
      </c>
      <c r="FY17" s="115">
        <f>IF(Lijst_componenten="","", IF(OR(FX17=0,FX17=""),FY16,  IF(FY16="",FX17,1-(1-FX17)*(1-FY16))))</f>
        <v/>
      </c>
      <c r="FZ17" s="353" t="n"/>
      <c r="GA17" s="118">
        <f>IF(AND(functie_4&lt;&gt;"",lambda&lt;&gt;""),lambda*m_schip,"")</f>
        <v/>
      </c>
      <c r="GB17" s="118">
        <f>IF(functie_4&lt;&gt;"",lambda_functie,"")</f>
        <v/>
      </c>
      <c r="GC17" s="118">
        <f>IF(functie_4&lt;&gt;"",ONB_missie,"")</f>
        <v/>
      </c>
      <c r="GD17" s="115">
        <f>IF(Lijst_componenten="","", IF(OR(GC17=0,GC17=""),GD16,  IF(GD16="",GC17,1-(1-GC17)*(1-GD16))))</f>
        <v/>
      </c>
      <c r="GE17" s="118">
        <f>IF(functie_4&lt;&gt;"",ONB_aanvang,"")</f>
        <v/>
      </c>
      <c r="GF17" s="115">
        <f>IF(Lijst_componenten="","", IF(OR(GE17=0,GE17=""),GF16,  IF(GF16="",GE17,1-(1-GE17)*(1-GF16))))</f>
        <v/>
      </c>
      <c r="GG17" s="353" t="n"/>
      <c r="GH17" s="118">
        <f>IF(AND(functie_5&lt;&gt;"",lambda&lt;&gt;""),lambda*m_schip,"")</f>
        <v/>
      </c>
      <c r="GI17" s="118">
        <f>IF(functie_5&lt;&gt;"",lambda_functie,"")</f>
        <v/>
      </c>
      <c r="GJ17" s="118">
        <f>IF(functie_5&lt;&gt;"",ONB_missie,"")</f>
        <v/>
      </c>
      <c r="GK17" s="115">
        <f>IF(Lijst_componenten="","", IF(OR(GJ17=0,GJ17=""),GK16,  IF(GK16="",GJ17,1-(1-GJ17)*(1-GK16))))</f>
        <v/>
      </c>
      <c r="GL17" s="118">
        <f>IF(functie_5&lt;&gt;"",ONB_aanvang,"")</f>
        <v/>
      </c>
      <c r="GM17" s="115">
        <f>IF(Lijst_componenten="","", IF(OR(GL17=0,GL17=""),GM16,  IF(GM16="",GL17,1-(1-GL17)*(1-GM16))))</f>
        <v/>
      </c>
      <c r="GN17" s="353" t="n"/>
      <c r="GO17" s="118">
        <f>IF(AND(functie_6&lt;&gt;"",lambda&lt;&gt;""),lambda*m_schip,"")</f>
        <v/>
      </c>
      <c r="GP17" s="118">
        <f>IF(functie_6&lt;&gt;"",lambda_functie,"")</f>
        <v/>
      </c>
      <c r="GQ17" s="118">
        <f>IF(functie_6&lt;&gt;"",ONB_missie,"")</f>
        <v/>
      </c>
      <c r="GR17" s="115">
        <f>IF(Lijst_componenten="","", IF(OR(GQ17=0,GQ17=""),GR16,  IF(GR16="",GQ17,1-(1-GQ17)*(1-GR16))))</f>
        <v/>
      </c>
      <c r="GS17" s="118">
        <f>IF(functie_6&lt;&gt;"",ONB_aanvang,"")</f>
        <v/>
      </c>
      <c r="GT17" s="115">
        <f>IF(Lijst_componenten="","", IF(OR(GS17=0,GS17=""),GT16,  IF(GT16="",GS17,1-(1-GS17)*(1-GT16))))</f>
        <v/>
      </c>
      <c r="GU17" s="353" t="n"/>
      <c r="GV17" s="118">
        <f>IF(AND(functie_7&lt;&gt;"",lambda&lt;&gt;""),lambda*m_schip,"")</f>
        <v/>
      </c>
      <c r="GW17" s="118">
        <f>IF(functie_7&lt;&gt;"",lambda_functie,"")</f>
        <v/>
      </c>
      <c r="GX17" s="118">
        <f>IF(functie_7&lt;&gt;"",ONB_missie,"")</f>
        <v/>
      </c>
      <c r="GY17" s="115">
        <f>IF(Lijst_componenten="","", IF(OR(GX17=0,GX17=""),GY16,  IF(GY16="",GX17,1-(1-GX17)*(1-GY16))))</f>
        <v/>
      </c>
      <c r="GZ17" s="118">
        <f>IF(functie_7&lt;&gt;"",ONB_aanvang,"")</f>
        <v/>
      </c>
      <c r="HA17" s="115">
        <f>IF(Lijst_componenten="","", IF(OR(GZ17=0,GZ17=""),HA16,  IF(HA16="",GZ17,1-(1-GZ17)*(1-HA16))))</f>
        <v/>
      </c>
      <c r="HB17" s="353" t="n"/>
      <c r="HC17" s="118">
        <f>IF(AND(functie_8&lt;&gt;"",lambda&lt;&gt;""),lambda*m_schip,"")</f>
        <v/>
      </c>
      <c r="HD17" s="118">
        <f>IF(functie_8&lt;&gt;"",lambda_functie,"")</f>
        <v/>
      </c>
      <c r="HE17" s="118">
        <f>IF(functie_8&lt;&gt;"",ONB_missie,"")</f>
        <v/>
      </c>
      <c r="HF17" s="115">
        <f>IF(Lijst_componenten="","", IF(OR(HE17=0,HE17=""),HF16,  IF(HF16="",HE17,1-(1-HE17)*(1-HF16))))</f>
        <v/>
      </c>
      <c r="HG17" s="118">
        <f>IF(functie_8&lt;&gt;"",ONB_aanvang,"")</f>
        <v/>
      </c>
      <c r="HH17" s="115">
        <f>IF(Lijst_componenten="","", IF(OR(HG17=0,HG17=""),HH16,  IF(HH16="",HG17,1-(1-HG17)*(1-HH16))))</f>
        <v/>
      </c>
      <c r="HI17" s="353" t="n"/>
      <c r="HJ17" s="118">
        <f>IF(AND(functie_9&lt;&gt;"",lambda&lt;&gt;""),lambda*m_schip,"")</f>
        <v/>
      </c>
      <c r="HK17" s="118">
        <f>IF(functie_9&lt;&gt;"",lambda_functie,"")</f>
        <v/>
      </c>
      <c r="HL17" s="118">
        <f>IF(functie_9&lt;&gt;"",ONB_missie,"")</f>
        <v/>
      </c>
      <c r="HM17" s="115">
        <f>IF(Lijst_componenten="","", IF(OR(HL17=0,HL17=""),HM16,  IF(HM16="",HL17,1-(1-HL17)*(1-HM16))))</f>
        <v/>
      </c>
      <c r="HN17" s="118">
        <f>IF(functie_9&lt;&gt;"",ONB_aanvang,"")</f>
        <v/>
      </c>
      <c r="HO17" s="115">
        <f>IF(Lijst_componenten="","", IF(OR(HN17=0,HN17=""),HO16,  IF(HO16="",HN17,1-(1-HN17)*(1-HO16))))</f>
        <v/>
      </c>
      <c r="HP17" s="353" t="n"/>
      <c r="HQ17" s="118">
        <f>IF(AND(functie_10&lt;&gt;"",lambda&lt;&gt;""),lambda*m_schip,"")</f>
        <v/>
      </c>
      <c r="HR17" s="118">
        <f>IF(functie_10&lt;&gt;"",lambda_functie,"")</f>
        <v/>
      </c>
      <c r="HS17" s="118">
        <f>IF(functie_10&lt;&gt;"",ONB_missie,"")</f>
        <v/>
      </c>
      <c r="HT17" s="115">
        <f>IF(Lijst_componenten="","", IF(OR(HS17=0,HS17=""),HT16,  IF(HT16="",HS17,1-(1-HS17)*(1-HT16))))</f>
        <v/>
      </c>
      <c r="HU17" s="118">
        <f>IF(functie_10&lt;&gt;"",ONB_aanvang,"")</f>
        <v/>
      </c>
      <c r="HV17" s="115">
        <f>IF(Lijst_componenten="","", IF(OR(HU17=0,HU17=""),HV16,  IF(HV16="",HU17,1-(1-HU17)*(1-HV16))))</f>
        <v/>
      </c>
      <c r="HW17" s="353" t="n"/>
      <c r="HX17" s="113" t="n"/>
      <c r="HY17" s="353" t="n"/>
      <c r="HZ17" s="353" t="n"/>
      <c r="IA17" s="353" t="n"/>
      <c r="IB17" s="353" t="n"/>
      <c r="IC17" s="353" t="n"/>
      <c r="ID17" s="353" t="n"/>
      <c r="IE17" s="353" t="n"/>
      <c r="IF17" s="353" t="n"/>
      <c r="IG17" s="353" t="n"/>
      <c r="IH17" s="353" t="n"/>
      <c r="II17" s="353" t="n"/>
      <c r="IJ17" s="353" t="n"/>
      <c r="IK17" s="353" t="n"/>
      <c r="IL17" s="353" t="n"/>
      <c r="IM17" s="353" t="n"/>
      <c r="IN17" s="353" t="n"/>
      <c r="IO17" s="353" t="n"/>
      <c r="IP17" s="353" t="n"/>
      <c r="IQ17" s="353" t="n"/>
      <c r="IR17" s="353" t="n"/>
      <c r="IS17" s="353" t="n"/>
      <c r="IT17" s="353" t="n"/>
      <c r="IU17" s="353" t="n"/>
      <c r="IV17" s="353" t="n"/>
    </row>
    <row r="18" ht="12" customFormat="1" customHeight="1" s="353">
      <c r="A18" s="99" t="n">
        <v>1</v>
      </c>
      <c r="B18" s="649">
        <f>N(Invoer!B38)</f>
        <v/>
      </c>
      <c r="C18" s="649">
        <f>N(Invoer!C38)</f>
        <v/>
      </c>
      <c r="D18" s="649">
        <f>N(Invoer!D38)</f>
        <v/>
      </c>
      <c r="E18" s="649">
        <f>N(Invoer!E38)</f>
        <v/>
      </c>
      <c r="F18" s="649">
        <f>N(Invoer!F38)</f>
        <v/>
      </c>
      <c r="G18" s="649">
        <f>N(Invoer!G38)</f>
        <v/>
      </c>
      <c r="H18" s="649">
        <f>N(Invoer!H38)</f>
        <v/>
      </c>
      <c r="I18" s="649">
        <f>N(Invoer!I38)</f>
        <v/>
      </c>
      <c r="J18" s="649">
        <f>N(Invoer!J38)</f>
        <v/>
      </c>
      <c r="K18" s="649">
        <f>N(Invoer!K38)</f>
        <v/>
      </c>
      <c r="L18" s="58">
        <f>IF(Invoer!L38="","",Invoer!L38)</f>
        <v/>
      </c>
      <c r="M18" s="650">
        <f>N(Invoer!M38)</f>
        <v/>
      </c>
      <c r="N18" s="58">
        <f>IF(Invoer!N38="","",Invoer!N38)</f>
        <v/>
      </c>
      <c r="O18" s="119" t="n"/>
      <c r="P18" s="96">
        <f>IF(Invoer!BK38="","",Invoer!BK38)</f>
        <v/>
      </c>
      <c r="Q18" s="96">
        <f>IF(Invoer!BL38="","",Invoer!BL38)</f>
        <v/>
      </c>
      <c r="R18" s="96">
        <f>IF(Invoer!BM38="","",Invoer!BM38)</f>
        <v/>
      </c>
      <c r="S18" s="96">
        <f>IF(Invoer!BN38="","",Invoer!BN38)</f>
        <v/>
      </c>
      <c r="T18" s="96">
        <f>IF(Invoer!BO38="","",Invoer!BO38)</f>
        <v/>
      </c>
      <c r="U18" s="96">
        <f>IF(Invoer!BP38="","",Invoer!BP38)</f>
        <v/>
      </c>
      <c r="V18" s="60" t="n"/>
      <c r="W18" s="115">
        <f>IF(Invoer!BQ38="","",Invoer!BQ38)</f>
        <v/>
      </c>
      <c r="X18" s="115">
        <f>IF(Invoer!BR38="","",Invoer!BR38)</f>
        <v/>
      </c>
      <c r="Y18" s="60" t="n"/>
      <c r="Z18" s="115">
        <f>IF(Invoer!BS38="","",Invoer!BS38)</f>
        <v/>
      </c>
      <c r="AA18" s="115">
        <f>IF(Invoer!BT38="","",Invoer!BT38)</f>
        <v/>
      </c>
      <c r="AB18" s="115">
        <f>IF(Invoer!P38="","",Invoer!P38)</f>
        <v/>
      </c>
      <c r="AC18" s="60" t="n"/>
      <c r="AD18" s="34">
        <f>IF(Invoer!Q38="","",Invoer!Q38)</f>
        <v/>
      </c>
      <c r="AE18" s="110" t="n"/>
      <c r="AF18" s="96">
        <f>IF(Invoer!R38="","",Invoer!R38)</f>
        <v/>
      </c>
      <c r="AG18" s="107" t="n"/>
      <c r="AH18" s="107" t="n"/>
      <c r="AI18" s="651">
        <f>IF(N(Invoer!S38)=0,"",Invoer!S38)</f>
        <v/>
      </c>
      <c r="AJ18" s="652">
        <f>IF(Invoer!T38="","",Invoer!T38)</f>
        <v/>
      </c>
      <c r="AK18" s="356" t="n"/>
      <c r="AL18" s="652">
        <f>IF(Invoer!U38="","",Invoer!U38)</f>
        <v/>
      </c>
      <c r="AM18" s="652">
        <f>IF(Invoer!V38="","",Invoer!V38)</f>
        <v/>
      </c>
      <c r="AN18" s="652">
        <f>IF(Invoer!W38="","",Invoer!W38)</f>
        <v/>
      </c>
      <c r="AO18" s="359" t="n"/>
      <c r="AP18" s="653">
        <f>N(Invoer!X38)</f>
        <v/>
      </c>
      <c r="AQ18" s="653">
        <f>N(Invoer!Y38)</f>
        <v/>
      </c>
      <c r="AR18" s="653">
        <f>N(Invoer!Z38)</f>
        <v/>
      </c>
      <c r="AS18" s="653">
        <f>N(Invoer!AA38)</f>
        <v/>
      </c>
      <c r="AT18" s="653">
        <f>N(Invoer!AB38)</f>
        <v/>
      </c>
      <c r="AU18" s="653">
        <f>N(Invoer!AC38)</f>
        <v/>
      </c>
      <c r="AV18" s="359" t="n"/>
      <c r="AW18" s="654">
        <f>N(Invoer!AD38)</f>
        <v/>
      </c>
      <c r="AX18" s="359" t="n"/>
      <c r="AY18" s="535">
        <f>IF(Periodiciteit&lt;&gt;"",(uurtarief_wd*(IF(ISNUMBER(tijd_wd),tijd_wd,0))+uurtarief_td*(IF(ISNUMBER(tijd_td),tijd_td,0))+uurtarief_sb*(IF(ISNUMBER(tijd_sb),tijd_sb,0))+uurtarief_rw*(IF(ISNUMBER(tijd_rw),tijd_rw,0))+uurtarief_d*(IF(ISNUMBER(tijd_d),tijd_d,0))+uurtarief_3*(IF(ISNUMBER(tijd_3),tijd_3,0)) +(IF(ISNUMBER(f_vast),f_vast,0)))*(IF(Perio_int="j",1,IF(Perio_int="m",12,IF(Perio_int="w",52,IF(Perio_int="d",365,0)))))*Periodiciteit*aantal_componenten,"")</f>
        <v/>
      </c>
      <c r="AZ18" s="359" t="n"/>
      <c r="BA18" s="536">
        <f>IF(N(Invoer!AE38)=0,"",Invoer!AE38)</f>
        <v/>
      </c>
      <c r="BB18" s="359" t="n"/>
      <c r="BC18" s="536">
        <f>IF(AND(Periodiciteit&lt;&gt;"",Kosten_res_pk&lt;&gt;""), Kosten_res_pk*(IF(Perio_int="j",1,IF(Perio_int="m",12,IF(Perio_int="w",52,IF(Perio_int="d",365,0)))))*Periodiciteit*aantal_componenten,"")</f>
        <v/>
      </c>
      <c r="BD18" s="359" t="n"/>
      <c r="BE18" s="361" t="n"/>
      <c r="BF18" s="359" t="n"/>
      <c r="BG18" s="536">
        <f>IF(Kosten_res_trade &lt;&gt;"", Kosten_res_trade, Kosten_res_jaar )</f>
        <v/>
      </c>
      <c r="BH18" s="359" t="n"/>
      <c r="BI18" s="537">
        <f>IF(N(Invoer!AF38)=0,"",Invoer!AF38)</f>
        <v/>
      </c>
      <c r="BJ18" s="359" t="n"/>
      <c r="BK18" s="537">
        <f>IF(AND(Periodiciteit&lt;&gt;"",Gevolgkosten&lt;&gt;""), Gevolgkosten*(IF(Perio_int="j",1,IF(Perio_int="m",12,IF(Perio_int="w",52,IF(Perio_int="d",365,0)))))*Periodiciteit*aantal_componenten,"")</f>
        <v/>
      </c>
      <c r="BL18" s="359" t="n"/>
      <c r="BM18" s="653">
        <f>N(Invoer!AJ38)</f>
        <v/>
      </c>
      <c r="BN18" s="655">
        <f>N(Invoer!AK38)</f>
        <v/>
      </c>
      <c r="BO18" s="655">
        <f>N(Invoer!AL38)</f>
        <v/>
      </c>
      <c r="BP18" s="655">
        <f>N(Invoer!AM38)</f>
        <v/>
      </c>
      <c r="BQ18" s="359" t="n"/>
      <c r="BR18" s="655">
        <f>N(Invoer!AN38)</f>
        <v/>
      </c>
      <c r="BS18" s="537">
        <f>IF(N(Invoer!AO38)=0,"",Invoer!AO38)</f>
        <v/>
      </c>
      <c r="BT18" s="655">
        <f>N(Invoer!AP38)</f>
        <v/>
      </c>
      <c r="BU18" s="359" t="n"/>
      <c r="BV18" s="655">
        <f>N(Invoer!AQ38)</f>
        <v/>
      </c>
      <c r="BW18" s="656">
        <f>N(Invoer!AR38)</f>
        <v/>
      </c>
      <c r="BX18" s="479" t="n"/>
      <c r="BY18" s="476" t="n"/>
      <c r="BZ18" s="107" t="n"/>
      <c r="CA18" s="64">
        <f>IF(N(Invoer!AG38)=0,"",Invoer!AG38)</f>
        <v/>
      </c>
      <c r="CB18" s="657">
        <f>N(Invoer!AH38)</f>
        <v/>
      </c>
      <c r="CC18" s="657">
        <f>N(Invoer!AI38)</f>
        <v/>
      </c>
      <c r="CD18" s="64">
        <f>IF( OR(CO_rep&lt;&gt;"",CO_verv&lt;&gt;""),IF(lambda_fabrikant&lt;&gt;"",IF(Uitvoeren_missie="N", (1-EXP(-aantal_componenten*lambda_fabrikant*Missieduur*p_gebruik_missie))/Missieduur/aantal_componenten,
IF(doorlooptijd_missie_i &lt;&gt; 0,((aantal_componenten*lambda_fabrikant*(1/doorlooptijd_missie_i)/(aantal_componenten*lambda_fabrikant+1/doorlooptijd_missie_i))*Missieduur*p_gebruik_missie+(aantal_componenten*lambda_fabrikant)^2/(aantal_componenten*lambda_fabrikant+1/doorlooptijd_missie_i)^2*(1-EXP(-(aantal_componenten*lambda_fabrikant+1/doorlooptijd_missie_i)*Missieduur*p_gebruik_missie)))/Missieduur/aantal_componenten,lambda_fabrikant*p_gebruik_missie)),""),"")</f>
        <v/>
      </c>
      <c r="CE18" s="64">
        <f>IF( OR(CO_rep&lt;&gt;"",CO_verv&lt;&gt;""),IF(lambda_fabrikant&lt;&gt;"",IF(uitvoeren_GO = "J", (1-EXP(-(aantal_componenten*lambda_fabrikant*p_gebruik_wal* interval_groot_onderhoud/8760*Missies_per_jaar*walduur)))/ (interval_groot_onderhoud/8760*Missies_per_jaar*walduur) / aantal_componenten,IF(doorlooptijd_wal_i &lt;&gt; 0,((aantal_componenten*lambda_fabrikant*(1/doorlooptijd_wal_i)/(aantal_componenten*lambda_fabrikant+1/doorlooptijd_wal_i))*walduur*p_gebruik_wal+(aantal_componenten*lambda_fabrikant)^2/(aantal_componenten*lambda_fabrikant+1/doorlooptijd_wal_i)^2*(1-EXP(-(aantal_componenten*lambda_fabrikant+1/doorlooptijd_wal_i)*walduur*p_gebruik_wal)))/walduur/aantal_componenten,lambda_fabrikant*p_gebruik_wal)),""),"")</f>
        <v/>
      </c>
      <c r="CF18" s="64">
        <f>IF( OR(CO_rep&lt;&gt;"",CO_verv&lt;&gt;""),
IF(OR(lambda_missie_g&lt;&gt;"",lambda_wal_g&lt;&gt;""), "",  IF(Perio_int="j",1/8760,  IF(Perio_int="m",12/8760,  IF(Perio_int="w",52/8760,  IF(Perio_int="d",365/8760,"error") ) ) )*Periodiciteit),"")</f>
        <v/>
      </c>
      <c r="CG18" s="66">
        <f>IF(OR(CO_rep&lt;&gt;"",CO_verv&lt;&gt;""),1,"")</f>
        <v/>
      </c>
      <c r="CH18" s="64">
        <f>IF( OR(CO_rep&lt;&gt;"",CO_verv&lt;&gt;""),IF(lambda_fabrikant="",lambda_kalendertijd*missiepercentage*8760/(Missies_per_jaar*Missieduur),""),"")</f>
        <v/>
      </c>
      <c r="CI18" s="64">
        <f>IF( OR(CO_rep&lt;&gt;"",CO_verv&lt;&gt;""),IF(lambda_fabrikant="",lambda_kalendertijd*(1-missiepercentage)*8760/(Missies_per_jaar*walduur),""),"")</f>
        <v/>
      </c>
      <c r="CJ18" s="64">
        <f>IF( OR(CO_rep&lt;&gt;"",CO_verv&lt;&gt;""),
IF(OR(lambda_missie_g&lt;&gt;"",lambda_wal_g&lt;&gt;""), (lambda_missie_g*Missieduur + lambda_wal_g*walduur)/8760*Missies_per_jaar, lambda_kalendertijd),"")</f>
        <v/>
      </c>
      <c r="CK18" s="64">
        <f>IF(lambda&lt;&gt;"",m_schip*lambda,"")</f>
        <v/>
      </c>
      <c r="CL18" s="65">
        <f>IF(OR(CO_rep&lt;&gt;"",CO_verv&lt;&gt;""),IF(Redundantie = "J","?",1),"")</f>
        <v/>
      </c>
      <c r="CM18" s="64">
        <f>IF(lambda&lt;&gt;"",IF(Redundantie="J",IF(lambda_missie_g&lt;&gt;"",lambda_missie_g*redundantie_factor,lambda_missie*redundantie_factor),IF(lambda_missie_g&lt;&gt;"",lambda_missie_g*m_schip,lambda_missie*m_schip)),"")</f>
        <v/>
      </c>
      <c r="CN18" s="64">
        <f>IF(lambda&lt;&gt;"",lambda_functie*Missieduur*Missies_per_jaar/8760,"")</f>
        <v/>
      </c>
      <c r="CO18" s="64">
        <f>IF(lambda&lt;&gt;"",IF(Redundantie="J",IF(lambda_wal_g&lt;&gt;"",lambda_wal_g*redundantie_factor,lambda_wal*redundantie_factor),IF(lambda_wal_g&lt;&gt;"",lambda_wal_g*m_schip,lambda_wal*m_schip)),"")</f>
        <v/>
      </c>
      <c r="CP18" s="64">
        <f>IF(lambda&lt;&gt;"",lambda_functie_wal*walduur*Missies_per_jaar/8760,"")</f>
        <v/>
      </c>
      <c r="CQ18" s="107" t="n"/>
      <c r="CR18" s="115">
        <f>IF(OR(CO_verv&lt;&gt;"",CO_rep&lt;&gt;""),aantal_componenten,"")</f>
        <v/>
      </c>
      <c r="CS18" s="66">
        <f>IF( OR(CO_rep&lt;&gt;"",CO_verv&lt;&gt;""),IF(Aantal_res_boord=0,1,IF(lambda_missie_g&lt;&gt;"",1-POISSON(Aantal_res_boord-1,m_schip*lambda_missie_g*Missieduur,TRUE),1-POISSON(Aantal_res_boord-1,m_schip*lambda_missie*Missieduur,TRUE))),"")</f>
        <v/>
      </c>
      <c r="CT18" s="107" t="n"/>
      <c r="CU18" s="115">
        <f>IF(OR(CO_verv&lt;&gt;"",CO_rep&lt;&gt;""),Aantal_fregatten * m_schip,"")</f>
        <v/>
      </c>
      <c r="CV18" s="65">
        <f>IF(AND(lambda&gt;0,Aantal_ini_wal&gt;=0,Aantal_res_wal&lt;&gt;""),IF(Aantal_ini_wal&gt;Aantal_res_wal,(Aantal_ini_wal-Aantal_res_wal)/(m_vloot*lambda*8760),0),"")</f>
        <v/>
      </c>
      <c r="CW18" s="65">
        <f>IF(AND(lambda&gt;0,Aantal_max_wal&gt;=0,Aantal_res_wal&lt;&gt;""),IF(Aantal_max_wal&gt;Aantal_res_wal,(Aantal_max_wal-Aantal_res_wal)/(m_vloot*lambda*8760),0),"")</f>
        <v/>
      </c>
      <c r="CX18" s="68">
        <f>IF(AND(ini_periode&lt;&gt;"",bestel_interval&lt;&gt;"",besteltijd&lt;&gt;""),IF(ini_periode&gt;=Looptijd,0,
IF(bestel_interval&gt;=(Looptijd-ini_periode),IF(besteltijd&lt;(Looptijd-ini_periode),besteltijd/8760/Looptijd,(Looptijd-ini_periode)/Looptijd),
IF(((Looptijd-ini_periode)-(INT((Looptijd-ini_periode)/(besteltijd/8760+bestel_interval))))&gt;=besteltijd/8760,(1+INT((Looptijd-ini_periode)/(besteltijd/8760+bestel_interval)))*(besteltijd/8760)/Looptijd,(INT((Looptijd-ini_periode)/(besteltijd/8760+bestel_interval))*(besteltijd/8760)+((Looptijd-ini_periode)-(INT((Looptijd-ini_periode)/(besteltijd/8760+bestel_interval)))*(besteltijd/8760+bestel_interval)))/Looptijd))),"")</f>
        <v/>
      </c>
      <c r="CY18" s="66">
        <f>IF( OR(CO_rep&lt;&gt;"",CO_verv&lt;&gt;""),
  IF( Aantal_res_wal+(Aantal_fregatten-1)*Aantal_res_boord=0, 1*IF(percentage_looptijd_inbestelling&lt;&gt;"",percentage_looptijd_inbestelling,1),
(1-POISSON(Aantal_res_wal-1+(Aantal_fregatten-1)*Aantal_res_boord, m_vloot*lambda*besteltijd,TRUE))*IF(percentage_looptijd_inbestelling&lt;&gt;"",percentage_looptijd_inbestelling,1)),"")</f>
        <v/>
      </c>
      <c r="CZ18" s="66">
        <f>IF( OR(CO_rep&lt;&gt;"",CO_verv&lt;&gt;""),IF( Aantal_res_wal=0,1,  1-POISSON(Aantal_res_boord+Aantal_res_wal-1, m_vloot*lambda*besteltijd,TRUE)   ),"")</f>
        <v/>
      </c>
      <c r="DA18" s="107" t="n"/>
      <c r="DB18" s="115">
        <f>IF(OR(Uitvoeren_missie&lt;&gt;"J",uitvoeren_bedrijf="J",uitvoeren_GO="J"), "",
  IF(TAO_revisie&lt;&gt;"",  TAO_rev_verv_tijd,
  IF(TAO_vervanging&lt;&gt;"",  TAO_rev_verv_tijd,
  IF(PO_doorlooptijd&lt;&gt;0,  PO_doorlooptijd,"" ))))</f>
        <v/>
      </c>
      <c r="DC18" s="107" t="n"/>
      <c r="DD18" s="115">
        <f>IF(AND(CO_rep&lt;&gt;"", Uitvoeren_missie="N"), Missieduur,
  IF(AND(CO_rep&lt;&gt;"", Uitvoeren_missie="J"), CO_zoektijd + CO_rep_verv_tijd,""))</f>
        <v/>
      </c>
      <c r="DE18" s="115">
        <f>IF(AND(CO_verv&lt;&gt;"", Uitvoeren_missie="N"), Missieduur,
  IF(AND(CO_verv&lt;&gt;"", Uitvoeren_missie="J"), CO_zoektijd + CO_rep_verv_tijd,""))</f>
        <v/>
      </c>
      <c r="DF18" s="115">
        <f>IF(AND(CO_verv&lt;&gt;"", Uitvoeren_missie="N"), Missieduur,
  IF(AND(CO_verv&lt;&gt;"", Uitvoeren_missie="J"), wachttijd_invlieg+CO_zoektijd + CO_rep_verv_tijd,""))</f>
        <v/>
      </c>
      <c r="DG18" s="115">
        <f>IF(AND(CO_verv&lt;&gt;"", Uitvoeren_missie="N"), Missieduur,
  IF(AND(CO_verv&lt;&gt;"", Uitvoeren_missie="J"), besteltijd + wachttijd_invlieg + CO_zoektijd + CO_rep_verv_tijd,""))</f>
        <v/>
      </c>
      <c r="DH18" s="115">
        <f> IF(AND(doorlooptijd_missie_met&lt;&gt;"",CO_verv&lt;&gt;""),    P_op_boord* ( P_op_vloot*doorlooptijd_missie_zonder  +  (1-P_op_vloot)*doorlooptijd_invlieg  ) + (1-P_op_boord)* doorlooptijd_missie_met, "")</f>
        <v/>
      </c>
      <c r="DI18" s="115">
        <f>IF(CO_rep&lt;&gt;"",doorlooptijd_missie_rep,IF(AND(CO_verv&lt;&gt;"",Aantal_res_boord&lt;&gt;"",Aantal_res_boord&lt;&gt;0),doorlooptijd_missie_met,IF(AND(CO_verv&lt;&gt;"",Aantal_max_wal&lt;&gt;"",Aantal_max_wal&lt;&gt;0),doorlooptijd_invlieg,doorlooptijd_missie_zonder)))</f>
        <v/>
      </c>
      <c r="DJ18" s="115">
        <f>IF(doorlooptijd_missie_verv&lt;&gt;"", doorlooptijd_missie_verv, IF(doorlooptijd_missie_rep&lt;&gt;"", doorlooptijd_missie_rep,""))</f>
        <v/>
      </c>
      <c r="DK18" s="107" t="n"/>
      <c r="DL18" s="115">
        <f>  IF(CO_rep&lt;&gt;"", CO_zoektijd + CO_rep_verv_tijd,"")</f>
        <v/>
      </c>
      <c r="DM18" s="115">
        <f>  IF(AND(CO_verv&lt;&gt;"",CO_rep=""), wachttijd_wal+CO_zoektijd + CO_rep_verv_tijd,"")</f>
        <v/>
      </c>
      <c r="DN18" s="115">
        <f> IF(AND(CO_verv&lt;&gt;"",CO_rep=""), wachttijd_invlieg+CO_zoektijd + CO_rep_verv_tijd,"")</f>
        <v/>
      </c>
      <c r="DO18" s="115">
        <f>IF(AND(CO_verv&lt;&gt;"",CO_rep=""), besteltijd + wachttijd_wal + CO_zoektijd + CO_rep_verv_tijd,"")</f>
        <v/>
      </c>
      <c r="DP18" s="69">
        <f> IF(AND(doorlooptijd_van_wal&lt;&gt;"",CO_verv&lt;&gt;""),     P_op_vloot*doorlooptijd_wal_zonder  +
     (1-P_op_vloot)*(P_op_wal*Doorlooptijd_transport+ (1-P_op_wal)*doorlooptijd_van_wal  ),   "")</f>
        <v/>
      </c>
      <c r="DQ18" s="115">
        <f>IF(CO_rep&lt;&gt;"",doorlooptijd_wal_rep,IF(AND(CO_verv&lt;&gt;"",AND(Aantal_res_boord&lt;&gt;"",Aantal_res_boord&lt;&gt;0)),doorlooptijd_van_wal,IF(AND(CO_verv&lt;&gt;"",AND(Aantal_max_wal&lt;&gt;"",Aantal_max_wal&lt;&gt;0)),Doorlooptijd_transport,doorlooptijd_wal_zonder)))</f>
        <v/>
      </c>
      <c r="DR18" s="115">
        <f>IF(doorlooptijd_wal_verv&lt;&gt;"", doorlooptijd_wal_verv, IF(doorlooptijd_wal_rep&lt;&gt;"", doorlooptijd_wal_rep,""))</f>
        <v/>
      </c>
      <c r="DS18" s="107" t="n"/>
      <c r="DT18" s="64">
        <f>IF(OR(CO_verv&lt;&gt;"",CO_rep&lt;&gt;""),IF(lambda_functie&lt;&gt;"",ONB_missie_tussenberekening_1 + ONB_missie_tussenberekening_2,""),"")</f>
        <v/>
      </c>
      <c r="DU18" s="64">
        <f>IF(OR(CO_rep&lt;&gt;"",CO_verv&lt;&gt;""),IF(lambda_functie&lt;&gt;"",IF(Uitvoeren_missie="N",1-(1-EXP(-lambda_functie*Missieduur))/(lambda_functie*Missieduur),IF(CO_verv&lt;&gt;"",
(1-P_op_boord)*IF(doorlooptijd_missie_met&lt;&gt;0,lambda_functie/(lambda_functie+(1/doorlooptijd_missie_met))-lambda_functie/((lambda_functie+(1/doorlooptijd_missie_met))^2*Missieduur)*(1-EXP(-(lambda_functie+(1/doorlooptijd_missie_met))*Missieduur)),0)+P_op_boord*((1-P_op_vloot)*IF(doorlooptijd_invlieg&lt;&gt;0,lambda_functie/(lambda_functie+(1 /doorlooptijd_invlieg))-lambda_functie/((lambda_functie+(1/doorlooptijd_invlieg))^2*Missieduur)*(1-EXP(-(lambda_functie+(1/doorlooptijd_invlieg))*Missieduur)),0)+P_op_vloot*IF(doorlooptijd_missie_zonder&lt;&gt;0,lambda_functie/(lambda_functie+(1/doorlooptijd_missie_zonder))-lambda_functie/((lambda_functie+(1/doorlooptijd_missie_zonder))^2*Missieduur)*(1-EXP(-(lambda_functie+(1/doorlooptijd_missie_zonder))*Missieduur)),0)),0)),0),"")</f>
        <v/>
      </c>
      <c r="DV18" s="64">
        <f>IF(OR(CO_rep&lt;&gt;"",CO_verv&lt;&gt;""),IF(lambda_functie&lt;&gt;"",IF(CO_rep&lt;&gt;"",
IF(doorlooptijd_missie_rep&lt;&gt;0,lambda_functie/(lambda_functie+(1/doorlooptijd_missie_rep))-lambda_functie/((lambda_functie+(1/doorlooptijd_missie_rep))^2*Missieduur)*(1-EXP(-(lambda_functie+(1/doorlooptijd_missie_rep))*Missieduur)),0),0)),"")</f>
        <v/>
      </c>
      <c r="DW18" s="66">
        <f>IF(ONB_missie="","",IF(tot_ONB_missie&lt;&gt;0,ONB_missie/tot_ONB_missie,0))</f>
        <v/>
      </c>
      <c r="DX18" s="115">
        <f>DT18</f>
        <v/>
      </c>
      <c r="DY18" s="107" t="n"/>
      <c r="DZ18" s="96">
        <f>IF(OR(CO_rep&lt;&gt;"",CO_verv&lt;&gt;""),IF(uitvoeren_GO="J",ONB_tussenberekening_1,IF(CO_rep&lt;&gt;"",ONB_tussenberekening_2,ONB_tussenberekening_3+ONB_tussenberekening_4+ONB_tussenberekening_5)),"")</f>
        <v/>
      </c>
      <c r="EA18" s="96">
        <f>IF(OR(CO_rep&lt;&gt;"",CO_verv&lt;&gt;""),IF(AND(OR(lambda_functie_kalendertijd&lt;&gt;"",lambda_functie_wal_kalendertijd&lt;&gt;""),uitvoeren_GO="J"),
1-(1-EXP(-(lambda_functie_kalendertijd+lambda_functie_wal_kalendertijd)*interval_groot_onderhoud))
/((lambda_functie_kalendertijd+lambda_functie_wal_kalendertijd)*interval_groot_onderhoud),0),"")</f>
        <v/>
      </c>
      <c r="EB18" s="96">
        <f>IF(OR(CO_rep&lt;&gt;"",CO_verv&lt;&gt;""),IF(AND(CO_rep &lt;&gt;"",OR(doorlooptijd_missie_rep&gt;=walduur,doorlooptijd_wal_rep &gt;= walduur)),IF(doorlooptijd_missie_rep &gt;= walduur,lambda_functie_kalendertijd / (lambda_functie_kalendertijd + 1/doorlooptijd_missie_rep),0)
 + IF(doorlooptijd_wal_rep &gt;= walduur,lambda_functie_wal_kalendertijd / (lambda_functie_wal_kalendertijd + 1/doorlooptijd_wal_rep),0),IF(CO_rep &lt;&gt; "",(1 -EXP(-(lambda_functie_wal_kalendertijd + 1 / doorlooptijd_wal_rep)*walduur))
*  lambda_functie_wal_kalendertijd / (lambda_functie_wal_kalendertijd + 1/ doorlooptijd_wal_rep),0)),"")</f>
        <v/>
      </c>
      <c r="EC18" s="96">
        <f>IF(OR(CO_rep&lt;&gt;"",CO_verv&lt;&gt;""),IF(CO_verv&lt;&gt;"",
P_op_boord* ( P_op_vloot*IF(doorlooptijd_missie_zonder&gt;=walduur, lambda_functie_kalendertijd / (lambda_functie_kalendertijd + 1/doorlooptijd_missie_zonder),0)+ (1- P_op_vloot)*IF(doorlooptijd_invlieg&gt;=walduur, lambda_functie_kalendertijd / (lambda_functie_kalendertijd + 1 /doorlooptijd_invlieg),0) )
+ (1- P_op_boord) * IF(doorlooptijd_missie_met&gt;=walduur,lambda_functie_kalendertijd / (lambda_functie_kalendertijd  + 1 / doorlooptijd_missie_met),0),0),"")</f>
        <v/>
      </c>
      <c r="ED18" s="96">
        <f>IF(OR(CO_rep&lt;&gt;"",CO_verv&lt;&gt;""),IF(CO_verv &lt;&gt;"",
(1-P_op_vloot)*((1 - P_op_wal)*IF(doorlooptijd_van_wal&gt;=walduur,lambda_functie_wal_kalendertijd/(lambda_functie_wal_kalendertijd+ 1/ doorlooptijd_van_wal),0)
+ P_op_wal*IF(Doorlooptijd_transport&gt;=walduur,lambda_functie_wal_kalendertijd / (lambda_functie_wal_kalendertijd +1/Doorlooptijd_transport),0) )+ P_op_vloot*IF(doorlooptijd_wal_zonder&gt;=walduur, lambda_functie_wal_kalendertijd / (lambda_functie_wal_kalendertijd + 1/ doorlooptijd_wal_zonder),0),0),"")</f>
        <v/>
      </c>
      <c r="EE18" s="96">
        <f>IF(OR(CO_rep&lt;&gt;"",CO_verv&lt;&gt;""),IF(CO_verv &lt;&gt;"",
(1-P_op_vloot)* ( (1- P_op_wal)* (IF(AND(doorlooptijd_van_wal&lt;&gt;0,doorlooptijd_van_wal&lt;walduur),(1 -EXP(-(lambda_functie_wal_kalendertijd + 1 / doorlooptijd_van_wal)*walduur))
*  lambda_functie_wal_kalendertijd / (lambda_functie_wal_kalendertijd + 1/ doorlooptijd_van_wal),0))
+ P_op_wal*(IF(AND(Doorlooptijd_transport&lt;&gt;0,Doorlooptijd_transport&lt;walduur),(1 -EXP(-(lambda_functie_wal_kalendertijd + 1 / Doorlooptijd_transport)*walduur))
* lambda_functie_wal_kalendertijd /(lambda_functie_wal_kalendertijd + 1/ Doorlooptijd_transport),0)))
 + P_op_vloot*(IF(AND(doorlooptijd_wal_zonder&lt;&gt;0,doorlooptijd_wal_zonder&lt;walduur),(1 -EXP(-(lambda_functie_wal_kalendertijd + 1 / doorlooptijd_wal_zonder)*walduur))
*  lambda_functie_wal_kalendertijd / (lambda_functie_wal_kalendertijd + 1/ doorlooptijd_wal_zonder),0)),0),"")</f>
        <v/>
      </c>
      <c r="EF18" s="66">
        <f>IF(ONB_aanvang="","",IF(tot_ONB_aanvang&lt;&gt;0,ONB_aanvang/tot_ONB_aanvang,0))</f>
        <v/>
      </c>
      <c r="EG18" s="115">
        <f>DZ18</f>
        <v/>
      </c>
      <c r="EH18" s="107" t="n"/>
      <c r="EI18" s="40">
        <f>IF(Invoer!BE38="","",Invoer!BE38)</f>
        <v/>
      </c>
      <c r="EJ18" s="71" t="n"/>
      <c r="EK18" s="120" t="n"/>
      <c r="EL18" s="119" t="n"/>
      <c r="EM18" s="107" t="n"/>
      <c r="EN18" s="72" t="n"/>
      <c r="EO18" s="107" t="n"/>
      <c r="EP18" s="107" t="n"/>
      <c r="EQ18" s="119" t="n"/>
      <c r="ER18" s="120" t="n"/>
      <c r="ES18" s="119" t="n"/>
      <c r="ET18" s="119" t="n"/>
      <c r="EU18" s="115">
        <f>IF(Invoer!AS38="","",Invoer!AS38)</f>
        <v/>
      </c>
      <c r="EV18" s="115">
        <f>IF(Invoer!AT38="","",Invoer!AT38)</f>
        <v/>
      </c>
      <c r="EW18" s="115">
        <f>IF(Invoer!AU38="","",Invoer!AU38)</f>
        <v/>
      </c>
      <c r="EX18" s="115">
        <f>IF(Invoer!AV38="","",Invoer!AV38)</f>
        <v/>
      </c>
      <c r="EY18" s="115">
        <f>IF(Invoer!AW38="","",Invoer!AW38)</f>
        <v/>
      </c>
      <c r="EZ18" s="115">
        <f>IF(Invoer!AX38="","",Invoer!AX38)</f>
        <v/>
      </c>
      <c r="FA18" s="115">
        <f>IF(Invoer!AY38="","",Invoer!AY38)</f>
        <v/>
      </c>
      <c r="FB18" s="115">
        <f>IF(Invoer!AZ38="","",Invoer!AZ38)</f>
        <v/>
      </c>
      <c r="FC18" s="115">
        <f>IF(Invoer!BA38="","",Invoer!BA38)</f>
        <v/>
      </c>
      <c r="FD18" s="115">
        <f>IF(Invoer!BB38="","",Invoer!BB38)</f>
        <v/>
      </c>
      <c r="FE18" s="348" t="n"/>
      <c r="FF18" s="118">
        <f>IF(AND(functie_1&lt;&gt;"",lambda&lt;&gt;""),lambda*m_schip,"")</f>
        <v/>
      </c>
      <c r="FG18" s="118">
        <f>IF(functie_1&lt;&gt;"",lambda_functie,"")</f>
        <v/>
      </c>
      <c r="FH18" s="118">
        <f>IF(functie_1&lt;&gt;"",ONB_missie,"")</f>
        <v/>
      </c>
      <c r="FI18" s="115">
        <f>FH18</f>
        <v/>
      </c>
      <c r="FJ18" s="118">
        <f>IF(functie_1&lt;&gt;"",ONB_aanvang,"")</f>
        <v/>
      </c>
      <c r="FK18" s="115">
        <f>FJ18</f>
        <v/>
      </c>
      <c r="FL18" s="107" t="n"/>
      <c r="FM18" s="118">
        <f>IF(AND(functie_2&lt;&gt;"",lambda&lt;&gt;""),lambda*m_schip,"")</f>
        <v/>
      </c>
      <c r="FN18" s="118">
        <f>IF(functie_2&lt;&gt;"",lambda_functie,"")</f>
        <v/>
      </c>
      <c r="FO18" s="118">
        <f>IF(functie_2&lt;&gt;"",ONB_missie,"")</f>
        <v/>
      </c>
      <c r="FP18" s="115">
        <f>FO18</f>
        <v/>
      </c>
      <c r="FQ18" s="118">
        <f>IF(functie_2&lt;&gt;"",ONB_aanvang,"")</f>
        <v/>
      </c>
      <c r="FR18" s="115">
        <f>FQ18</f>
        <v/>
      </c>
      <c r="FS18" s="107" t="n"/>
      <c r="FT18" s="118">
        <f>IF(AND(functie_3&lt;&gt;"",lambda&lt;&gt;""),lambda*m_schip,"")</f>
        <v/>
      </c>
      <c r="FU18" s="118">
        <f>IF(functie_3&lt;&gt;"",lambda_functie,"")</f>
        <v/>
      </c>
      <c r="FV18" s="118">
        <f>IF(functie_3&lt;&gt;"",ONB_missie,"")</f>
        <v/>
      </c>
      <c r="FW18" s="115">
        <f>FV18</f>
        <v/>
      </c>
      <c r="FX18" s="118">
        <f>IF(functie_3&lt;&gt;"",ONB_aanvang,"")</f>
        <v/>
      </c>
      <c r="FY18" s="115">
        <f>FX18</f>
        <v/>
      </c>
      <c r="FZ18" s="107" t="n"/>
      <c r="GA18" s="118">
        <f>IF(AND(functie_4&lt;&gt;"",lambda&lt;&gt;""),lambda*m_schip,"")</f>
        <v/>
      </c>
      <c r="GB18" s="118">
        <f>IF(functie_4&lt;&gt;"",lambda_functie,"")</f>
        <v/>
      </c>
      <c r="GC18" s="118">
        <f>IF(functie_4&lt;&gt;"",ONB_missie,"")</f>
        <v/>
      </c>
      <c r="GD18" s="115">
        <f>GC18</f>
        <v/>
      </c>
      <c r="GE18" s="118">
        <f>IF(functie_4&lt;&gt;"",ONB_aanvang,"")</f>
        <v/>
      </c>
      <c r="GF18" s="115">
        <f>GE18</f>
        <v/>
      </c>
      <c r="GG18" s="107" t="n"/>
      <c r="GH18" s="118">
        <f>IF(AND(functie_5&lt;&gt;"",lambda&lt;&gt;""),lambda*m_schip,"")</f>
        <v/>
      </c>
      <c r="GI18" s="118">
        <f>IF(functie_5&lt;&gt;"",lambda_functie,"")</f>
        <v/>
      </c>
      <c r="GJ18" s="118">
        <f>IF(functie_5&lt;&gt;"",ONB_missie,"")</f>
        <v/>
      </c>
      <c r="GK18" s="115">
        <f>GJ18</f>
        <v/>
      </c>
      <c r="GL18" s="118">
        <f>IF(functie_5&lt;&gt;"",ONB_aanvang,"")</f>
        <v/>
      </c>
      <c r="GM18" s="115">
        <f>GL18</f>
        <v/>
      </c>
      <c r="GN18" s="107" t="n"/>
      <c r="GO18" s="118">
        <f>IF(AND(functie_6&lt;&gt;"",lambda&lt;&gt;""),lambda*m_schip,"")</f>
        <v/>
      </c>
      <c r="GP18" s="118">
        <f>IF(functie_6&lt;&gt;"",lambda_functie,"")</f>
        <v/>
      </c>
      <c r="GQ18" s="118">
        <f>IF(functie_6&lt;&gt;"",ONB_missie,"")</f>
        <v/>
      </c>
      <c r="GR18" s="115">
        <f>GQ18</f>
        <v/>
      </c>
      <c r="GS18" s="118">
        <f>IF(functie_6&lt;&gt;"",ONB_aanvang,"")</f>
        <v/>
      </c>
      <c r="GT18" s="115">
        <f>GS18</f>
        <v/>
      </c>
      <c r="GU18" s="107" t="n"/>
      <c r="GV18" s="118">
        <f>IF(AND(functie_7&lt;&gt;"",lambda&lt;&gt;""),lambda*m_schip,"")</f>
        <v/>
      </c>
      <c r="GW18" s="118">
        <f>IF(functie_7&lt;&gt;"",lambda_functie,"")</f>
        <v/>
      </c>
      <c r="GX18" s="118">
        <f>IF(functie_7&lt;&gt;"",ONB_missie,"")</f>
        <v/>
      </c>
      <c r="GY18" s="115">
        <f>GX18</f>
        <v/>
      </c>
      <c r="GZ18" s="118">
        <f>IF(functie_7&lt;&gt;"",ONB_aanvang,"")</f>
        <v/>
      </c>
      <c r="HA18" s="115">
        <f>GZ18</f>
        <v/>
      </c>
      <c r="HB18" s="107" t="n"/>
      <c r="HC18" s="118">
        <f>IF(AND(functie_8&lt;&gt;"",lambda&lt;&gt;""),lambda*m_schip,"")</f>
        <v/>
      </c>
      <c r="HD18" s="118">
        <f>IF(functie_8&lt;&gt;"",lambda_functie,"")</f>
        <v/>
      </c>
      <c r="HE18" s="118">
        <f>IF(functie_8&lt;&gt;"",ONB_missie,"")</f>
        <v/>
      </c>
      <c r="HF18" s="115">
        <f>HE18</f>
        <v/>
      </c>
      <c r="HG18" s="118">
        <f>IF(functie_8&lt;&gt;"",ONB_aanvang,"")</f>
        <v/>
      </c>
      <c r="HH18" s="115">
        <f>HG18</f>
        <v/>
      </c>
      <c r="HI18" s="107" t="n"/>
      <c r="HJ18" s="118">
        <f>IF(AND(functie_9&lt;&gt;"",lambda&lt;&gt;""),lambda*m_schip,"")</f>
        <v/>
      </c>
      <c r="HK18" s="118">
        <f>IF(functie_9&lt;&gt;"",lambda_functie,"")</f>
        <v/>
      </c>
      <c r="HL18" s="118">
        <f>IF(functie_9&lt;&gt;"",ONB_missie,"")</f>
        <v/>
      </c>
      <c r="HM18" s="115">
        <f>HL18</f>
        <v/>
      </c>
      <c r="HN18" s="118">
        <f>IF(functie_9&lt;&gt;"",ONB_aanvang,"")</f>
        <v/>
      </c>
      <c r="HO18" s="115">
        <f>HN18</f>
        <v/>
      </c>
      <c r="HP18" s="107" t="n"/>
      <c r="HQ18" s="118">
        <f>IF(AND(functie_10&lt;&gt;"",lambda&lt;&gt;""),lambda*m_schip,"")</f>
        <v/>
      </c>
      <c r="HR18" s="118">
        <f>IF(functie_10&lt;&gt;"",lambda_functie,"")</f>
        <v/>
      </c>
      <c r="HS18" s="118">
        <f>IF(functie_10&lt;&gt;"",ONB_missie,"")</f>
        <v/>
      </c>
      <c r="HT18" s="115">
        <f>HS18</f>
        <v/>
      </c>
      <c r="HU18" s="118">
        <f>IF(functie_10&lt;&gt;"",ONB_aanvang,"")</f>
        <v/>
      </c>
      <c r="HV18" s="115">
        <f>HU18</f>
        <v/>
      </c>
      <c r="HW18" s="353" t="n"/>
      <c r="HX18" s="113" t="n"/>
      <c r="HY18" s="353" t="n"/>
      <c r="HZ18" s="353" t="n"/>
      <c r="IA18" s="353" t="n"/>
      <c r="IB18" s="353" t="n"/>
      <c r="IC18" s="353" t="n"/>
      <c r="ID18" s="353" t="n"/>
      <c r="IE18" s="353" t="n"/>
      <c r="IF18" s="353" t="n"/>
      <c r="IG18" s="353" t="n"/>
      <c r="IH18" s="353" t="n"/>
      <c r="II18" s="353" t="n"/>
      <c r="IJ18" s="353" t="n"/>
      <c r="IK18" s="353" t="n"/>
      <c r="IL18" s="353" t="n"/>
      <c r="IM18" s="353" t="n"/>
      <c r="IN18" s="353" t="n"/>
      <c r="IO18" s="353" t="n"/>
      <c r="IP18" s="353" t="n"/>
      <c r="IQ18" s="353" t="n"/>
      <c r="IR18" s="353" t="n"/>
      <c r="IS18" s="353" t="n"/>
      <c r="IT18" s="353" t="n"/>
      <c r="IU18" s="353" t="n"/>
      <c r="IV18" s="353" t="n"/>
    </row>
    <row r="19" ht="12" customFormat="1" customHeight="1" s="353">
      <c r="A19" s="99" t="n">
        <v>2</v>
      </c>
      <c r="B19" s="649">
        <f>N(Invoer!B39)</f>
        <v/>
      </c>
      <c r="C19" s="649">
        <f>N(Invoer!C39)</f>
        <v/>
      </c>
      <c r="D19" s="649">
        <f>N(Invoer!D39)</f>
        <v/>
      </c>
      <c r="E19" s="649">
        <f>N(Invoer!E39)</f>
        <v/>
      </c>
      <c r="F19" s="649">
        <f>N(Invoer!F39)</f>
        <v/>
      </c>
      <c r="G19" s="649">
        <f>N(Invoer!G39)</f>
        <v/>
      </c>
      <c r="H19" s="649">
        <f>N(Invoer!H39)</f>
        <v/>
      </c>
      <c r="I19" s="649">
        <f>N(Invoer!I39)</f>
        <v/>
      </c>
      <c r="J19" s="649">
        <f>N(Invoer!J39)</f>
        <v/>
      </c>
      <c r="K19" s="649">
        <f>N(Invoer!K39)</f>
        <v/>
      </c>
      <c r="L19" s="58">
        <f>IF(Invoer!L39="","",Invoer!L39)</f>
        <v/>
      </c>
      <c r="M19" s="650">
        <f>N(Invoer!M39)</f>
        <v/>
      </c>
      <c r="N19" s="58">
        <f>IF(Invoer!N39="","",Invoer!N39)</f>
        <v/>
      </c>
      <c r="O19" s="119" t="n"/>
      <c r="P19" s="96">
        <f>IF(Invoer!BK39="","",Invoer!BK39)</f>
        <v/>
      </c>
      <c r="Q19" s="96">
        <f>IF(Invoer!BL39="","",Invoer!BL39)</f>
        <v/>
      </c>
      <c r="R19" s="96">
        <f>IF(Invoer!BM39="","",Invoer!BM39)</f>
        <v/>
      </c>
      <c r="S19" s="96">
        <f>IF(Invoer!BN39="","",Invoer!BN39)</f>
        <v/>
      </c>
      <c r="T19" s="96">
        <f>IF(Invoer!BO39="","",Invoer!BO39)</f>
        <v/>
      </c>
      <c r="U19" s="96">
        <f>IF(Invoer!BP39="","",Invoer!BP39)</f>
        <v/>
      </c>
      <c r="V19" s="60" t="n"/>
      <c r="W19" s="115">
        <f>IF(Invoer!BQ39="","",Invoer!BQ39)</f>
        <v/>
      </c>
      <c r="X19" s="115">
        <f>IF(Invoer!BR39="","",Invoer!BR39)</f>
        <v/>
      </c>
      <c r="Y19" s="60" t="n"/>
      <c r="Z19" s="115">
        <f>IF(Invoer!BS39="","",Invoer!BS39)</f>
        <v/>
      </c>
      <c r="AA19" s="115">
        <f>IF(Invoer!BT39="","",Invoer!BT39)</f>
        <v/>
      </c>
      <c r="AB19" s="115">
        <f>IF(Invoer!P39="","",Invoer!P39)</f>
        <v/>
      </c>
      <c r="AC19" s="60" t="n"/>
      <c r="AD19" s="34">
        <f>IF(Invoer!Q39="","",Invoer!Q39)</f>
        <v/>
      </c>
      <c r="AE19" s="110" t="n"/>
      <c r="AF19" s="96">
        <f>IF(Invoer!R39="","",Invoer!R39)</f>
        <v/>
      </c>
      <c r="AG19" s="107" t="n"/>
      <c r="AH19" s="107" t="n"/>
      <c r="AI19" s="658">
        <f>IF(N(Invoer!S39)=0,"",Invoer!S39)</f>
        <v/>
      </c>
      <c r="AJ19" s="659">
        <f>IF(Invoer!T39="","",Invoer!T39)</f>
        <v/>
      </c>
      <c r="AK19" s="365" t="n"/>
      <c r="AL19" s="659">
        <f>IF(Invoer!U39="","",Invoer!U39)</f>
        <v/>
      </c>
      <c r="AM19" s="659">
        <f>IF(Invoer!V39="","",Invoer!V39)</f>
        <v/>
      </c>
      <c r="AN19" s="659">
        <f>IF(Invoer!W39="","",Invoer!W39)</f>
        <v/>
      </c>
      <c r="AO19" s="368" t="n"/>
      <c r="AP19" s="660">
        <f>N(Invoer!X39)</f>
        <v/>
      </c>
      <c r="AQ19" s="660">
        <f>N(Invoer!Y39)</f>
        <v/>
      </c>
      <c r="AR19" s="660">
        <f>N(Invoer!Z39)</f>
        <v/>
      </c>
      <c r="AS19" s="660">
        <f>N(Invoer!AA39)</f>
        <v/>
      </c>
      <c r="AT19" s="660">
        <f>N(Invoer!AB39)</f>
        <v/>
      </c>
      <c r="AU19" s="660">
        <f>N(Invoer!AC39)</f>
        <v/>
      </c>
      <c r="AV19" s="368" t="n"/>
      <c r="AW19" s="661">
        <f>N(Invoer!AD39)</f>
        <v/>
      </c>
      <c r="AX19" s="368" t="n"/>
      <c r="AY19" s="541">
        <f>IF(Periodiciteit&lt;&gt;"",(uurtarief_wd*(IF(ISNUMBER(tijd_wd),tijd_wd,0))+uurtarief_td*(IF(ISNUMBER(tijd_td),tijd_td,0))+uurtarief_sb*(IF(ISNUMBER(tijd_sb),tijd_sb,0))+uurtarief_rw*(IF(ISNUMBER(tijd_rw),tijd_rw,0))+uurtarief_d*(IF(ISNUMBER(tijd_d),tijd_d,0))+uurtarief_3*(IF(ISNUMBER(tijd_3),tijd_3,0)) +(IF(ISNUMBER(f_vast),f_vast,0)))*(IF(Perio_int="j",1,IF(Perio_int="m",12,IF(Perio_int="w",52,IF(Perio_int="d",365,0)))))*Periodiciteit*aantal_componenten,"")</f>
        <v/>
      </c>
      <c r="AZ19" s="368" t="n"/>
      <c r="BA19" s="542">
        <f>IF(N(Invoer!AE39)=0,"",Invoer!AE39)</f>
        <v/>
      </c>
      <c r="BB19" s="368" t="n"/>
      <c r="BC19" s="542">
        <f>IF(AND(Periodiciteit&lt;&gt;"",Kosten_res_pk&lt;&gt;""), Kosten_res_pk*(IF(Perio_int="j",1,IF(Perio_int="m",12,IF(Perio_int="w",52,IF(Perio_int="d",365,0)))))*Periodiciteit*aantal_componenten,"")</f>
        <v/>
      </c>
      <c r="BD19" s="368" t="n"/>
      <c r="BE19" s="370" t="n"/>
      <c r="BF19" s="368" t="n"/>
      <c r="BG19" s="542">
        <f>IF(Kosten_res_trade &lt;&gt;"", Kosten_res_trade, Kosten_res_jaar )</f>
        <v/>
      </c>
      <c r="BH19" s="368" t="n"/>
      <c r="BI19" s="543">
        <f>IF(N(Invoer!AF39)=0,"",Invoer!AF39)</f>
        <v/>
      </c>
      <c r="BJ19" s="368" t="n"/>
      <c r="BK19" s="543">
        <f>IF(AND(Periodiciteit&lt;&gt;"",Gevolgkosten&lt;&gt;""), Gevolgkosten*(IF(Perio_int="j",1,IF(Perio_int="m",12,IF(Perio_int="w",52,IF(Perio_int="d",365,0)))))*Periodiciteit*aantal_componenten,"")</f>
        <v/>
      </c>
      <c r="BL19" s="368" t="n"/>
      <c r="BM19" s="660">
        <f>N(Invoer!AJ39)</f>
        <v/>
      </c>
      <c r="BN19" s="662">
        <f>N(Invoer!AK39)</f>
        <v/>
      </c>
      <c r="BO19" s="662">
        <f>N(Invoer!AL39)</f>
        <v/>
      </c>
      <c r="BP19" s="662">
        <f>N(Invoer!AM39)</f>
        <v/>
      </c>
      <c r="BQ19" s="368" t="n"/>
      <c r="BR19" s="662">
        <f>N(Invoer!AN39)</f>
        <v/>
      </c>
      <c r="BS19" s="543">
        <f>IF(N(Invoer!AO39)=0,"",Invoer!AO39)</f>
        <v/>
      </c>
      <c r="BT19" s="662">
        <f>N(Invoer!AP39)</f>
        <v/>
      </c>
      <c r="BU19" s="368" t="n"/>
      <c r="BV19" s="662">
        <f>N(Invoer!AQ39)</f>
        <v/>
      </c>
      <c r="BW19" s="663">
        <f>N(Invoer!AR39)</f>
        <v/>
      </c>
      <c r="BX19" s="480" t="n"/>
      <c r="BY19" s="477" t="n"/>
      <c r="BZ19" s="107" t="n"/>
      <c r="CA19" s="64">
        <f>IF(N(Invoer!AG39)=0,"",Invoer!AG39)</f>
        <v/>
      </c>
      <c r="CB19" s="657">
        <f>N(Invoer!AH39)</f>
        <v/>
      </c>
      <c r="CC19" s="657">
        <f>N(Invoer!AI39)</f>
        <v/>
      </c>
      <c r="CD19" s="64">
        <f>IF( OR(CO_rep&lt;&gt;"",CO_verv&lt;&gt;""),IF(lambda_fabrikant&lt;&gt;"",IF(Uitvoeren_missie="N", (1-EXP(-aantal_componenten*lambda_fabrikant*Missieduur*p_gebruik_missie))/Missieduur/aantal_componenten,
IF(doorlooptijd_missie_i &lt;&gt; 0,((aantal_componenten*lambda_fabrikant*(1/doorlooptijd_missie_i)/(aantal_componenten*lambda_fabrikant+1/doorlooptijd_missie_i))*Missieduur*p_gebruik_missie+(aantal_componenten*lambda_fabrikant)^2/(aantal_componenten*lambda_fabrikant+1/doorlooptijd_missie_i)^2*(1-EXP(-(aantal_componenten*lambda_fabrikant+1/doorlooptijd_missie_i)*Missieduur*p_gebruik_missie)))/Missieduur/aantal_componenten,lambda_fabrikant*p_gebruik_missie)),""),"")</f>
        <v/>
      </c>
      <c r="CE19" s="64">
        <f>IF( OR(CO_rep&lt;&gt;"",CO_verv&lt;&gt;""),IF(lambda_fabrikant&lt;&gt;"",IF(uitvoeren_GO = "J", (1-EXP(-(aantal_componenten*lambda_fabrikant*p_gebruik_wal* interval_groot_onderhoud/8760*Missies_per_jaar*walduur)))/ (interval_groot_onderhoud/8760*Missies_per_jaar*walduur) / aantal_componenten,IF(doorlooptijd_wal_i &lt;&gt; 0,((aantal_componenten*lambda_fabrikant*(1/doorlooptijd_wal_i)/(aantal_componenten*lambda_fabrikant+1/doorlooptijd_wal_i))*walduur*p_gebruik_wal+(aantal_componenten*lambda_fabrikant)^2/(aantal_componenten*lambda_fabrikant+1/doorlooptijd_wal_i)^2*(1-EXP(-(aantal_componenten*lambda_fabrikant+1/doorlooptijd_wal_i)*walduur*p_gebruik_wal)))/walduur/aantal_componenten,lambda_fabrikant*p_gebruik_wal)),""),"")</f>
        <v/>
      </c>
      <c r="CF19" s="64">
        <f>IF( OR(CO_rep&lt;&gt;"",CO_verv&lt;&gt;""),
IF(OR(lambda_missie_g&lt;&gt;"",lambda_wal_g&lt;&gt;""), "", IF(Perio_int="j",1/8760, IF(Perio_int="m",12/8760, IF(Perio_int="w",52/8760, IF(Perio_int="d",365/8760,"error") ) ) )*Periodiciteit),"")</f>
        <v/>
      </c>
      <c r="CG19" s="66">
        <f>IF(OR(CO_rep&lt;&gt;"",CO_verv&lt;&gt;""),1,"")</f>
        <v/>
      </c>
      <c r="CH19" s="64">
        <f>IF( OR(CO_rep&lt;&gt;"",CO_verv&lt;&gt;""),IF(lambda_fabrikant="",lambda_kalendertijd*missiepercentage*8760/(Missies_per_jaar*Missieduur),""),"")</f>
        <v/>
      </c>
      <c r="CI19" s="64">
        <f>IF( OR(CO_rep&lt;&gt;"",CO_verv&lt;&gt;""),IF(lambda_fabrikant="",lambda_kalendertijd*(1-missiepercentage)*8760/(Missies_per_jaar*walduur),""),"")</f>
        <v/>
      </c>
      <c r="CJ19" s="64">
        <f>IF( OR(CO_rep&lt;&gt;"",CO_verv&lt;&gt;""),
IF(OR(lambda_missie_g&lt;&gt;"",lambda_wal_g&lt;&gt;""), (lambda_missie_g*Missieduur + lambda_wal_g*walduur)/8760*Missies_per_jaar, lambda_kalendertijd),"")</f>
        <v/>
      </c>
      <c r="CK19" s="64">
        <f>IF(lambda&lt;&gt;"",m_schip*lambda,"")</f>
        <v/>
      </c>
      <c r="CL19" s="65">
        <f>IF(OR(CO_rep&lt;&gt;"",CO_verv&lt;&gt;""),IF(Redundantie = "J","?",1),"")</f>
        <v/>
      </c>
      <c r="CM19" s="64">
        <f>IF(lambda&lt;&gt;"",IF(Redundantie="J",IF(lambda_missie_g&lt;&gt;"",lambda_missie_g*redundantie_factor,lambda_missie*redundantie_factor),IF(lambda_missie_g&lt;&gt;"",lambda_missie_g*m_schip,lambda_missie*m_schip)),"")</f>
        <v/>
      </c>
      <c r="CN19" s="64">
        <f>IF(lambda&lt;&gt;"",lambda_functie*Missieduur*Missies_per_jaar/8760,"")</f>
        <v/>
      </c>
      <c r="CO19" s="64">
        <f>IF(lambda&lt;&gt;"",IF(Redundantie="J",IF(lambda_wal_g&lt;&gt;"",lambda_wal_g*redundantie_factor,lambda_wal*redundantie_factor),IF(lambda_wal_g&lt;&gt;"",lambda_wal_g*m_schip,lambda_wal*m_schip)),"")</f>
        <v/>
      </c>
      <c r="CP19" s="64">
        <f>IF(lambda&lt;&gt;"",lambda_functie_wal*walduur*Missies_per_jaar/8760,"")</f>
        <v/>
      </c>
      <c r="CQ19" s="107" t="n"/>
      <c r="CR19" s="115">
        <f>IF(OR(CO_verv&lt;&gt;"",CO_rep&lt;&gt;""),aantal_componenten,"")</f>
        <v/>
      </c>
      <c r="CS19" s="66">
        <f>IF( OR(CO_rep&lt;&gt;"",CO_verv&lt;&gt;""),IF(Aantal_res_boord=0,1,IF(lambda_missie_g&lt;&gt;"",1-POISSON(Aantal_res_boord-1,m_schip*lambda_missie_g*Missieduur,TRUE),1-POISSON(Aantal_res_boord-1,m_schip*lambda_missie*Missieduur,TRUE))),"")</f>
        <v/>
      </c>
      <c r="CT19" s="107" t="n"/>
      <c r="CU19" s="115">
        <f>IF(OR(CO_verv&lt;&gt;"",CO_rep&lt;&gt;""),Aantal_fregatten * m_schip,"")</f>
        <v/>
      </c>
      <c r="CV19" s="65">
        <f>IF(AND(lambda&gt;0,Aantal_ini_wal&gt;=0,Aantal_res_wal&lt;&gt;""),IF(Aantal_ini_wal&gt;Aantal_res_wal,(Aantal_ini_wal-Aantal_res_wal)/(m_vloot*lambda*8760),0),"")</f>
        <v/>
      </c>
      <c r="CW19" s="65">
        <f>IF(AND(lambda&gt;0,Aantal_max_wal&gt;=0,Aantal_res_wal&lt;&gt;""),IF(Aantal_max_wal&gt;Aantal_res_wal,(Aantal_max_wal-Aantal_res_wal)/(m_vloot*lambda*8760),0),"")</f>
        <v/>
      </c>
      <c r="CX19" s="68">
        <f>IF(AND(ini_periode&lt;&gt;"",bestel_interval&lt;&gt;"",besteltijd&lt;&gt;""),IF(ini_periode&gt;=Looptijd,0,
IF(bestel_interval&gt;=(Looptijd-ini_periode),IF(besteltijd&lt;(Looptijd-ini_periode),besteltijd/8760/Looptijd,(Looptijd-ini_periode)/Looptijd),
IF(((Looptijd-ini_periode)-(INT((Looptijd-ini_periode)/(besteltijd/8760+bestel_interval))))&gt;=besteltijd/8760,(1+INT((Looptijd-ini_periode)/(besteltijd/8760+bestel_interval)))*(besteltijd/8760)/Looptijd,(INT((Looptijd-ini_periode)/(besteltijd/8760+bestel_interval))*(besteltijd/8760)+((Looptijd-ini_periode)-(INT((Looptijd-ini_periode)/(besteltijd/8760+bestel_interval)))*(besteltijd/8760+bestel_interval)))/Looptijd))),"")</f>
        <v/>
      </c>
      <c r="CY19" s="66">
        <f>IF( OR(CO_rep&lt;&gt;"",CO_verv&lt;&gt;""),
IF( Aantal_res_wal+(Aantal_fregatten-1)*Aantal_res_boord=0, 1*IF(percentage_looptijd_inbestelling&lt;&gt;"",percentage_looptijd_inbestelling,1),
(1-POISSON(Aantal_res_wal-1+(Aantal_fregatten-1)*Aantal_res_boord, m_vloot*lambda*besteltijd,TRUE))*IF(percentage_looptijd_inbestelling&lt;&gt;"",percentage_looptijd_inbestelling,1)),"")</f>
        <v/>
      </c>
      <c r="CZ19" s="66">
        <f>IF( OR(CO_rep&lt;&gt;"",CO_verv&lt;&gt;""),IF( Aantal_res_wal=0,1, 1-POISSON(Aantal_res_boord+Aantal_res_wal-1, m_vloot*lambda*besteltijd,TRUE) ),"")</f>
        <v/>
      </c>
      <c r="DA19" s="107" t="n"/>
      <c r="DB19" s="115">
        <f>IF(OR(Uitvoeren_missie&lt;&gt;"J",uitvoeren_bedrijf="J",uitvoeren_GO="J"), "",
IF(TAO_revisie&lt;&gt;"", TAO_rev_verv_tijd,
IF(TAO_vervanging&lt;&gt;"", TAO_rev_verv_tijd,
IF(PO_doorlooptijd&lt;&gt;0, PO_doorlooptijd,"" ))))</f>
        <v/>
      </c>
      <c r="DC19" s="107" t="n"/>
      <c r="DD19" s="115">
        <f>IF(AND(CO_rep&lt;&gt;"", Uitvoeren_missie="N"), Missieduur,
IF(AND(CO_rep&lt;&gt;"", Uitvoeren_missie="J"), CO_zoektijd + CO_rep_verv_tijd,""))</f>
        <v/>
      </c>
      <c r="DE19" s="115">
        <f>IF(AND(CO_verv&lt;&gt;"", Uitvoeren_missie="N"), Missieduur,
IF(AND(CO_verv&lt;&gt;"", Uitvoeren_missie="J"), CO_zoektijd + CO_rep_verv_tijd,""))</f>
        <v/>
      </c>
      <c r="DF19" s="115">
        <f>IF(AND(CO_verv&lt;&gt;"", Uitvoeren_missie="N"), Missieduur,
IF(AND(CO_verv&lt;&gt;"", Uitvoeren_missie="J"), wachttijd_invlieg+CO_zoektijd + CO_rep_verv_tijd,""))</f>
        <v/>
      </c>
      <c r="DG19" s="115">
        <f>IF(AND(CO_verv&lt;&gt;"", Uitvoeren_missie="N"), Missieduur,
IF(AND(CO_verv&lt;&gt;"", Uitvoeren_missie="J"), besteltijd + wachttijd_invlieg + CO_zoektijd + CO_rep_verv_tijd,""))</f>
        <v/>
      </c>
      <c r="DH19" s="115">
        <f> IF(AND(doorlooptijd_missie_met&lt;&gt;"",CO_verv&lt;&gt;""), P_op_boord* ( P_op_vloot*doorlooptijd_missie_zonder + (1-P_op_vloot)*doorlooptijd_invlieg ) + (1-P_op_boord)* doorlooptijd_missie_met, "")</f>
        <v/>
      </c>
      <c r="DI19" s="115">
        <f>IF(CO_rep&lt;&gt;"",doorlooptijd_missie_rep,IF(AND(CO_verv&lt;&gt;"",Aantal_res_boord&lt;&gt;"",Aantal_res_boord&lt;&gt;0),doorlooptijd_missie_met,IF(AND(CO_verv&lt;&gt;"",Aantal_max_wal&lt;&gt;"",Aantal_max_wal&lt;&gt;0),doorlooptijd_invlieg,doorlooptijd_missie_zonder)))</f>
        <v/>
      </c>
      <c r="DJ19" s="115">
        <f>IF(doorlooptijd_missie_verv&lt;&gt;"", doorlooptijd_missie_verv, IF(doorlooptijd_missie_rep&lt;&gt;"", doorlooptijd_missie_rep,""))</f>
        <v/>
      </c>
      <c r="DK19" s="107" t="n"/>
      <c r="DL19" s="115">
        <f> IF(CO_rep&lt;&gt;"", CO_zoektijd + CO_rep_verv_tijd,"")</f>
        <v/>
      </c>
      <c r="DM19" s="115">
        <f> IF(AND(CO_verv&lt;&gt;"",CO_rep=""), wachttijd_wal+CO_zoektijd + CO_rep_verv_tijd,"")</f>
        <v/>
      </c>
      <c r="DN19" s="115">
        <f> IF(AND(CO_verv&lt;&gt;"",CO_rep=""), wachttijd_invlieg+CO_zoektijd + CO_rep_verv_tijd,"")</f>
        <v/>
      </c>
      <c r="DO19" s="115">
        <f>IF(AND(CO_verv&lt;&gt;"",CO_rep=""), besteltijd + wachttijd_wal + CO_zoektijd + CO_rep_verv_tijd,"")</f>
        <v/>
      </c>
      <c r="DP19" s="69">
        <f> IF(AND(doorlooptijd_van_wal&lt;&gt;"",CO_verv&lt;&gt;""), P_op_vloot*doorlooptijd_wal_zonder +
(1-P_op_vloot)*(P_op_wal*Doorlooptijd_transport+ (1-P_op_wal)*doorlooptijd_van_wal ), "")</f>
        <v/>
      </c>
      <c r="DQ19" s="115">
        <f>IF(CO_rep&lt;&gt;"",doorlooptijd_wal_rep,IF(AND(CO_verv&lt;&gt;"",AND(Aantal_res_boord&lt;&gt;"",Aantal_res_boord&lt;&gt;0)),doorlooptijd_van_wal,IF(AND(CO_verv&lt;&gt;"",AND(Aantal_max_wal&lt;&gt;"",Aantal_max_wal&lt;&gt;0)),Doorlooptijd_transport,doorlooptijd_wal_zonder)))</f>
        <v/>
      </c>
      <c r="DR19" s="115">
        <f>IF(doorlooptijd_wal_verv&lt;&gt;"", doorlooptijd_wal_verv, IF(doorlooptijd_wal_rep&lt;&gt;"", doorlooptijd_wal_rep,""))</f>
        <v/>
      </c>
      <c r="DS19" s="107" t="n"/>
      <c r="DT19" s="64">
        <f>IF(OR(CO_verv&lt;&gt;"",CO_rep&lt;&gt;""),IF(lambda_functie&lt;&gt;"",ONB_missie_tussenberekening_1 + ONB_missie_tussenberekening_2,""),"")</f>
        <v/>
      </c>
      <c r="DU19" s="64">
        <f>IF(OR(CO_rep&lt;&gt;"",CO_verv&lt;&gt;""),IF(lambda_functie&lt;&gt;"",IF(Uitvoeren_missie="N",1-(1-EXP(-lambda_functie*Missieduur))/(lambda_functie*Missieduur),IF(CO_verv&lt;&gt;"",
(1-P_op_boord)*IF(doorlooptijd_missie_met&lt;&gt;0,lambda_functie/(lambda_functie+(1/doorlooptijd_missie_met))-lambda_functie/((lambda_functie+(1/doorlooptijd_missie_met))^2*Missieduur)*(1-EXP(-(lambda_functie+(1/doorlooptijd_missie_met))*Missieduur)),0)+P_op_boord*((1-P_op_vloot)*IF(doorlooptijd_invlieg&lt;&gt;0,lambda_functie/(lambda_functie+(1 /doorlooptijd_invlieg))-lambda_functie/((lambda_functie+(1/doorlooptijd_invlieg))^2*Missieduur)*(1-EXP(-(lambda_functie+(1/doorlooptijd_invlieg))*Missieduur)),0)+P_op_vloot*IF(doorlooptijd_missie_zonder&lt;&gt;0,lambda_functie/(lambda_functie+(1/doorlooptijd_missie_zonder))-lambda_functie/((lambda_functie+(1/doorlooptijd_missie_zonder))^2*Missieduur)*(1-EXP(-(lambda_functie+(1/doorlooptijd_missie_zonder))*Missieduur)),0)),0)),0),"")</f>
        <v/>
      </c>
      <c r="DV19" s="64">
        <f>IF(OR(CO_rep&lt;&gt;"",CO_verv&lt;&gt;""),IF(lambda_functie&lt;&gt;"",IF(CO_rep&lt;&gt;"",
IF(doorlooptijd_missie_rep&lt;&gt;0,lambda_functie/(lambda_functie+(1/doorlooptijd_missie_rep))-lambda_functie/((lambda_functie+(1/doorlooptijd_missie_rep))^2*Missieduur)*(1-EXP(-(lambda_functie+(1/doorlooptijd_missie_rep))*Missieduur)),0),0)),"")</f>
        <v/>
      </c>
      <c r="DW19" s="66">
        <f>IF(ONB_missie="","",IF(tot_ONB_missie&lt;&gt;0,ONB_missie/tot_ONB_missie,0))</f>
        <v/>
      </c>
      <c r="DX19" s="115">
        <f>IF(Lijst_componenten="","", IF(OR(DT19=0,DT19=""),DX18,  IF(DX18="",DT19,1-(1-DT19)*(1-DX18))))</f>
        <v/>
      </c>
      <c r="DY19" s="107" t="n"/>
      <c r="DZ19" s="96">
        <f>IF(OR(CO_rep&lt;&gt;"",CO_verv&lt;&gt;""),IF(uitvoeren_GO="J",ONB_tussenberekening_1,IF(CO_rep&lt;&gt;"",ONB_tussenberekening_2,ONB_tussenberekening_3+ONB_tussenberekening_4+ONB_tussenberekening_5)),"")</f>
        <v/>
      </c>
      <c r="EA19" s="96">
        <f>IF(OR(CO_rep&lt;&gt;"",CO_verv&lt;&gt;""),IF(AND(OR(lambda_functie_kalendertijd&lt;&gt;"",lambda_functie_wal_kalendertijd&lt;&gt;""),uitvoeren_GO="J"),
1-(1-EXP(-(lambda_functie_kalendertijd+lambda_functie_wal_kalendertijd)*interval_groot_onderhoud))
/((lambda_functie_kalendertijd+lambda_functie_wal_kalendertijd)*interval_groot_onderhoud),0),"")</f>
        <v/>
      </c>
      <c r="EB19" s="96">
        <f>IF(OR(CO_rep&lt;&gt;"",CO_verv&lt;&gt;""),IF(AND(CO_rep &lt;&gt;"",OR(doorlooptijd_missie_rep&gt;=walduur,doorlooptijd_wal_rep &gt;= walduur)),IF(doorlooptijd_missie_rep &gt;= walduur,lambda_functie_kalendertijd / (lambda_functie_kalendertijd + 1/doorlooptijd_missie_rep),0)
+ IF(doorlooptijd_wal_rep &gt;= walduur,lambda_functie_wal_kalendertijd / (lambda_functie_wal_kalendertijd + 1/doorlooptijd_wal_rep),0),IF(CO_rep &lt;&gt; "",(1 -EXP(-(lambda_functie_wal_kalendertijd + 1 / doorlooptijd_wal_rep)*walduur))
* lambda_functie_wal_kalendertijd / (lambda_functie_wal_kalendertijd + 1/ doorlooptijd_wal_rep),0)),"")</f>
        <v/>
      </c>
      <c r="EC19" s="96">
        <f>IF(OR(CO_rep&lt;&gt;"",CO_verv&lt;&gt;""),IF(CO_verv&lt;&gt;"",
P_op_boord* ( P_op_vloot*IF(doorlooptijd_missie_zonder&gt;=walduur, lambda_functie_kalendertijd / (lambda_functie_kalendertijd + 1/doorlooptijd_missie_zonder),0)+ (1- P_op_vloot)*IF(doorlooptijd_invlieg&gt;=walduur, lambda_functie_kalendertijd / (lambda_functie_kalendertijd + 1 /doorlooptijd_invlieg),0) )
+ (1- P_op_boord) * IF(doorlooptijd_missie_met&gt;=walduur,lambda_functie_kalendertijd / (lambda_functie_kalendertijd + 1 / doorlooptijd_missie_met),0),0),"")</f>
        <v/>
      </c>
      <c r="ED19" s="96">
        <f>IF(OR(CO_rep&lt;&gt;"",CO_verv&lt;&gt;""),IF(CO_verv &lt;&gt;"",
(1-P_op_vloot)*((1 - P_op_wal)*IF(doorlooptijd_van_wal&gt;=walduur,lambda_functie_wal_kalendertijd/(lambda_functie_wal_kalendertijd+ 1/ doorlooptijd_van_wal),0)
+ P_op_wal*IF(Doorlooptijd_transport&gt;=walduur,lambda_functie_wal_kalendertijd / (lambda_functie_wal_kalendertijd +1/Doorlooptijd_transport),0) )+ P_op_vloot*IF(doorlooptijd_wal_zonder&gt;=walduur, lambda_functie_wal_kalendertijd / (lambda_functie_wal_kalendertijd + 1/ doorlooptijd_wal_zonder),0),0),"")</f>
        <v/>
      </c>
      <c r="EE19" s="96">
        <f>IF(OR(CO_rep&lt;&gt;"",CO_verv&lt;&gt;""),IF(CO_verv &lt;&gt;"",
(1-P_op_vloot)* ( (1- P_op_wal)* (IF(AND(doorlooptijd_van_wal&lt;&gt;0,doorlooptijd_van_wal&lt;walduur),(1 -EXP(-(lambda_functie_wal_kalendertijd + 1 / doorlooptijd_van_wal)*walduur))
* lambda_functie_wal_kalendertijd / (lambda_functie_wal_kalendertijd + 1/ doorlooptijd_van_wal),0))
+ P_op_wal*(IF(AND(Doorlooptijd_transport&lt;&gt;0,Doorlooptijd_transport&lt;walduur),(1 -EXP(-(lambda_functie_wal_kalendertijd + 1 / Doorlooptijd_transport)*walduur))
* lambda_functie_wal_kalendertijd /(lambda_functie_wal_kalendertijd + 1/ Doorlooptijd_transport),0)))
+ P_op_vloot*(IF(AND(doorlooptijd_wal_zonder&lt;&gt;0,doorlooptijd_wal_zonder&lt;walduur),(1 -EXP(-(lambda_functie_wal_kalendertijd + 1 / doorlooptijd_wal_zonder)*walduur))
* lambda_functie_wal_kalendertijd / (lambda_functie_wal_kalendertijd + 1/ doorlooptijd_wal_zonder),0)),0),"")</f>
        <v/>
      </c>
      <c r="EF19" s="66">
        <f>IF(ONB_aanvang="","",IF(tot_ONB_aanvang&lt;&gt;0,ONB_aanvang/tot_ONB_aanvang,0))</f>
        <v/>
      </c>
      <c r="EG19" s="115">
        <f>IF(Lijst_componenten="","", IF(OR(DZ19=0,DZ19=""),EG18,  IF(EG18="",DZ19,1-(1-DZ19)*(1-EG18))))</f>
        <v/>
      </c>
      <c r="EH19" s="107" t="n"/>
      <c r="EI19" s="40">
        <f>IF(Invoer!BE39="","",Invoer!BE39)</f>
        <v/>
      </c>
      <c r="EJ19" s="71" t="n"/>
      <c r="EK19" s="120" t="n"/>
      <c r="EL19" s="119" t="n"/>
      <c r="EM19" s="107" t="n"/>
      <c r="EN19" s="72" t="n"/>
      <c r="EO19" s="107" t="n"/>
      <c r="EP19" s="107" t="n"/>
      <c r="EQ19" s="119" t="n"/>
      <c r="ER19" s="120" t="n"/>
      <c r="ES19" s="119" t="n"/>
      <c r="ET19" s="119" t="n"/>
      <c r="EU19" s="115">
        <f>IF(Invoer!AS39="","",Invoer!AS39)</f>
        <v/>
      </c>
      <c r="EV19" s="115">
        <f>IF(Invoer!AT39="","",Invoer!AT39)</f>
        <v/>
      </c>
      <c r="EW19" s="115">
        <f>IF(Invoer!AU39="","",Invoer!AU39)</f>
        <v/>
      </c>
      <c r="EX19" s="115">
        <f>IF(Invoer!AV39="","",Invoer!AV39)</f>
        <v/>
      </c>
      <c r="EY19" s="115">
        <f>IF(Invoer!AW39="","",Invoer!AW39)</f>
        <v/>
      </c>
      <c r="EZ19" s="115">
        <f>IF(Invoer!AX39="","",Invoer!AX39)</f>
        <v/>
      </c>
      <c r="FA19" s="115">
        <f>IF(Invoer!AY39="","",Invoer!AY39)</f>
        <v/>
      </c>
      <c r="FB19" s="115">
        <f>IF(Invoer!AZ39="","",Invoer!AZ39)</f>
        <v/>
      </c>
      <c r="FC19" s="115">
        <f>IF(Invoer!BA39="","",Invoer!BA39)</f>
        <v/>
      </c>
      <c r="FD19" s="115">
        <f>IF(Invoer!BB39="","",Invoer!BB39)</f>
        <v/>
      </c>
      <c r="FE19" s="348" t="n"/>
      <c r="FF19" s="118">
        <f>IF(AND(functie_1&lt;&gt;"",lambda&lt;&gt;""),lambda*m_schip,"")</f>
        <v/>
      </c>
      <c r="FG19" s="118">
        <f>IF(functie_1&lt;&gt;"",lambda_functie,"")</f>
        <v/>
      </c>
      <c r="FH19" s="118">
        <f>IF(functie_1&lt;&gt;"",ONB_missie,"")</f>
        <v/>
      </c>
      <c r="FI19" s="115">
        <f>IF(Lijst_componenten="","", IF(OR(FH19=0,FH19=""),FI18,  IF(FI18="",FH19,1-(1-FH19)*(1-FI18))))</f>
        <v/>
      </c>
      <c r="FJ19" s="118">
        <f>IF(functie_1&lt;&gt;"",ONB_aanvang,"")</f>
        <v/>
      </c>
      <c r="FK19" s="115">
        <f>IF(Lijst_componenten="","", IF(OR(FJ19=0,FJ19=""),FK18,  IF(FK18="",FJ19,1-(1-FJ19)*(1-FK18))))</f>
        <v/>
      </c>
      <c r="FL19" s="107" t="n"/>
      <c r="FM19" s="118">
        <f>IF(AND(functie_2&lt;&gt;"",lambda&lt;&gt;""),lambda*m_schip,"")</f>
        <v/>
      </c>
      <c r="FN19" s="118">
        <f>IF(functie_2&lt;&gt;"",lambda_functie,"")</f>
        <v/>
      </c>
      <c r="FO19" s="118">
        <f>IF(functie_2&lt;&gt;"",ONB_missie,"")</f>
        <v/>
      </c>
      <c r="FP19" s="115">
        <f>IF(Lijst_componenten="","", IF(OR(FO19=0,FO19=""),FP18,  IF(FP18="",FO19,1-(1-FO19)*(1-FP18))))</f>
        <v/>
      </c>
      <c r="FQ19" s="118">
        <f>IF(functie_2&lt;&gt;"",ONB_aanvang,"")</f>
        <v/>
      </c>
      <c r="FR19" s="115">
        <f>IF(Lijst_componenten="","", IF(OR(FQ19=0,FQ19=""),FR18,  IF(FR18="",FQ19,1-(1-FQ19)*(1-FR18))))</f>
        <v/>
      </c>
      <c r="FS19" s="107" t="n"/>
      <c r="FT19" s="118">
        <f>IF(AND(functie_3&lt;&gt;"",lambda&lt;&gt;""),lambda*m_schip,"")</f>
        <v/>
      </c>
      <c r="FU19" s="118">
        <f>IF(functie_3&lt;&gt;"",lambda_functie,"")</f>
        <v/>
      </c>
      <c r="FV19" s="118">
        <f>IF(functie_3&lt;&gt;"",ONB_missie,"")</f>
        <v/>
      </c>
      <c r="FW19" s="115">
        <f>IF(Lijst_componenten="","", IF(OR(FV19=0,FV19=""),FW18,  IF(FW18="",FV19,1-(1-FV19)*(1-FW18))))</f>
        <v/>
      </c>
      <c r="FX19" s="118">
        <f>IF(functie_3&lt;&gt;"",ONB_aanvang,"")</f>
        <v/>
      </c>
      <c r="FY19" s="115">
        <f>IF(Lijst_componenten="","", IF(OR(FX19=0,FX19=""),FY18,  IF(FY18="",FX19,1-(1-FX19)*(1-FY18))))</f>
        <v/>
      </c>
      <c r="FZ19" s="107" t="n"/>
      <c r="GA19" s="118">
        <f>IF(AND(functie_4&lt;&gt;"",lambda&lt;&gt;""),lambda*m_schip,"")</f>
        <v/>
      </c>
      <c r="GB19" s="118">
        <f>IF(functie_4&lt;&gt;"",lambda_functie,"")</f>
        <v/>
      </c>
      <c r="GC19" s="118">
        <f>IF(functie_4&lt;&gt;"",ONB_missie,"")</f>
        <v/>
      </c>
      <c r="GD19" s="115">
        <f>IF(Lijst_componenten="","", IF(OR(GC19=0,GC19=""),GD18,  IF(GD18="",GC19,1-(1-GC19)*(1-GD18))))</f>
        <v/>
      </c>
      <c r="GE19" s="118">
        <f>IF(functie_4&lt;&gt;"",ONB_aanvang,"")</f>
        <v/>
      </c>
      <c r="GF19" s="115">
        <f>IF(Lijst_componenten="","", IF(OR(GE19=0,GE19=""),GF18,  IF(GF18="",GE19,1-(1-GE19)*(1-GF18))))</f>
        <v/>
      </c>
      <c r="GG19" s="107" t="n"/>
      <c r="GH19" s="118">
        <f>IF(AND(functie_5&lt;&gt;"",lambda&lt;&gt;""),lambda*m_schip,"")</f>
        <v/>
      </c>
      <c r="GI19" s="118">
        <f>IF(functie_5&lt;&gt;"",lambda_functie,"")</f>
        <v/>
      </c>
      <c r="GJ19" s="118">
        <f>IF(functie_5&lt;&gt;"",ONB_missie,"")</f>
        <v/>
      </c>
      <c r="GK19" s="115">
        <f>IF(Lijst_componenten="","", IF(OR(GJ19=0,GJ19=""),GK18,  IF(GK18="",GJ19,1-(1-GJ19)*(1-GK18))))</f>
        <v/>
      </c>
      <c r="GL19" s="118">
        <f>IF(functie_5&lt;&gt;"",ONB_aanvang,"")</f>
        <v/>
      </c>
      <c r="GM19" s="115">
        <f>IF(Lijst_componenten="","", IF(OR(GL19=0,GL19=""),GM18,  IF(GM18="",GL19,1-(1-GL19)*(1-GM18))))</f>
        <v/>
      </c>
      <c r="GN19" s="107" t="n"/>
      <c r="GO19" s="118">
        <f>IF(AND(functie_6&lt;&gt;"",lambda&lt;&gt;""),lambda*m_schip,"")</f>
        <v/>
      </c>
      <c r="GP19" s="118">
        <f>IF(functie_6&lt;&gt;"",lambda_functie,"")</f>
        <v/>
      </c>
      <c r="GQ19" s="118">
        <f>IF(functie_6&lt;&gt;"",ONB_missie,"")</f>
        <v/>
      </c>
      <c r="GR19" s="115">
        <f>IF(Lijst_componenten="","", IF(OR(GQ19=0,GQ19=""),GR18,  IF(GR18="",GQ19,1-(1-GQ19)*(1-GR18))))</f>
        <v/>
      </c>
      <c r="GS19" s="118">
        <f>IF(functie_6&lt;&gt;"",ONB_aanvang,"")</f>
        <v/>
      </c>
      <c r="GT19" s="115">
        <f>IF(Lijst_componenten="","", IF(OR(GS19=0,GS19=""),GT18,  IF(GT18="",GS19,1-(1-GS19)*(1-GT18))))</f>
        <v/>
      </c>
      <c r="GU19" s="107" t="n"/>
      <c r="GV19" s="118">
        <f>IF(AND(functie_7&lt;&gt;"",lambda&lt;&gt;""),lambda*m_schip,"")</f>
        <v/>
      </c>
      <c r="GW19" s="118">
        <f>IF(functie_7&lt;&gt;"",lambda_functie,"")</f>
        <v/>
      </c>
      <c r="GX19" s="118">
        <f>IF(functie_7&lt;&gt;"",ONB_missie,"")</f>
        <v/>
      </c>
      <c r="GY19" s="115">
        <f>IF(Lijst_componenten="","", IF(OR(GX19=0,GX19=""),GY18,  IF(GY18="",GX19,1-(1-GX19)*(1-GY18))))</f>
        <v/>
      </c>
      <c r="GZ19" s="118">
        <f>IF(functie_7&lt;&gt;"",ONB_aanvang,"")</f>
        <v/>
      </c>
      <c r="HA19" s="115">
        <f>IF(Lijst_componenten="","", IF(OR(GZ19=0,GZ19=""),HA18,  IF(HA18="",GZ19,1-(1-GZ19)*(1-HA18))))</f>
        <v/>
      </c>
      <c r="HB19" s="107" t="n"/>
      <c r="HC19" s="118">
        <f>IF(AND(functie_8&lt;&gt;"",lambda&lt;&gt;""),lambda*m_schip,"")</f>
        <v/>
      </c>
      <c r="HD19" s="118">
        <f>IF(functie_8&lt;&gt;"",lambda_functie,"")</f>
        <v/>
      </c>
      <c r="HE19" s="118">
        <f>IF(functie_8&lt;&gt;"",ONB_missie,"")</f>
        <v/>
      </c>
      <c r="HF19" s="115">
        <f>IF(Lijst_componenten="","", IF(OR(HE19=0,HE19=""),HF18,  IF(HF18="",HE19,1-(1-HE19)*(1-HF18))))</f>
        <v/>
      </c>
      <c r="HG19" s="118">
        <f>IF(functie_8&lt;&gt;"",ONB_aanvang,"")</f>
        <v/>
      </c>
      <c r="HH19" s="115">
        <f>IF(Lijst_componenten="","", IF(OR(HG19=0,HG19=""),HH18,  IF(HH18="",HG19,1-(1-HG19)*(1-HH18))))</f>
        <v/>
      </c>
      <c r="HI19" s="107" t="n"/>
      <c r="HJ19" s="118">
        <f>IF(AND(functie_9&lt;&gt;"",lambda&lt;&gt;""),lambda*m_schip,"")</f>
        <v/>
      </c>
      <c r="HK19" s="118">
        <f>IF(functie_9&lt;&gt;"",lambda_functie,"")</f>
        <v/>
      </c>
      <c r="HL19" s="118">
        <f>IF(functie_9&lt;&gt;"",ONB_missie,"")</f>
        <v/>
      </c>
      <c r="HM19" s="115">
        <f>IF(Lijst_componenten="","", IF(OR(HL19=0,HL19=""),HM18,  IF(HM18="",HL19,1-(1-HL19)*(1-HM18))))</f>
        <v/>
      </c>
      <c r="HN19" s="118">
        <f>IF(functie_9&lt;&gt;"",ONB_aanvang,"")</f>
        <v/>
      </c>
      <c r="HO19" s="115">
        <f>IF(Lijst_componenten="","", IF(OR(HN19=0,HN19=""),HO18,  IF(HO18="",HN19,1-(1-HN19)*(1-HO18))))</f>
        <v/>
      </c>
      <c r="HP19" s="107" t="n"/>
      <c r="HQ19" s="118">
        <f>IF(AND(functie_10&lt;&gt;"",lambda&lt;&gt;""),lambda*m_schip,"")</f>
        <v/>
      </c>
      <c r="HR19" s="118">
        <f>IF(functie_10&lt;&gt;"",lambda_functie,"")</f>
        <v/>
      </c>
      <c r="HS19" s="118">
        <f>IF(functie_10&lt;&gt;"",ONB_missie,"")</f>
        <v/>
      </c>
      <c r="HT19" s="115">
        <f>IF(Lijst_componenten="","", IF(OR(HS19=0,HS19=""),HT18,  IF(HT18="",HS19,1-(1-HS19)*(1-HT18))))</f>
        <v/>
      </c>
      <c r="HU19" s="118">
        <f>IF(functie_10&lt;&gt;"",ONB_aanvang,"")</f>
        <v/>
      </c>
      <c r="HV19" s="115">
        <f>IF(Lijst_componenten="","", IF(OR(HU19=0,HU19=""),HV18,  IF(HV18="",HU19,1-(1-HU19)*(1-HV18))))</f>
        <v/>
      </c>
      <c r="HW19" s="353" t="n"/>
      <c r="HX19" s="113" t="n"/>
      <c r="HY19" s="353" t="n"/>
      <c r="HZ19" s="353" t="n"/>
      <c r="IA19" s="353" t="n"/>
      <c r="IB19" s="353" t="n"/>
      <c r="IC19" s="353" t="n"/>
      <c r="ID19" s="353" t="n"/>
      <c r="IE19" s="353" t="n"/>
      <c r="IF19" s="353" t="n"/>
      <c r="IG19" s="353" t="n"/>
      <c r="IH19" s="353" t="n"/>
      <c r="II19" s="353" t="n"/>
      <c r="IJ19" s="353" t="n"/>
      <c r="IK19" s="353" t="n"/>
      <c r="IL19" s="353" t="n"/>
      <c r="IM19" s="353" t="n"/>
      <c r="IN19" s="353" t="n"/>
      <c r="IO19" s="353" t="n"/>
      <c r="IP19" s="353" t="n"/>
      <c r="IQ19" s="353" t="n"/>
      <c r="IR19" s="353" t="n"/>
      <c r="IS19" s="353" t="n"/>
      <c r="IT19" s="353" t="n"/>
      <c r="IU19" s="353" t="n"/>
      <c r="IV19" s="353" t="n"/>
    </row>
    <row r="20" ht="12" customFormat="1" customHeight="1" s="353">
      <c r="A20" s="99" t="n">
        <v>3</v>
      </c>
      <c r="B20" s="649">
        <f>N(Invoer!B40)</f>
        <v/>
      </c>
      <c r="C20" s="649">
        <f>N(Invoer!C40)</f>
        <v/>
      </c>
      <c r="D20" s="649">
        <f>N(Invoer!D40)</f>
        <v/>
      </c>
      <c r="E20" s="649">
        <f>N(Invoer!E40)</f>
        <v/>
      </c>
      <c r="F20" s="649">
        <f>N(Invoer!F40)</f>
        <v/>
      </c>
      <c r="G20" s="649">
        <f>N(Invoer!G40)</f>
        <v/>
      </c>
      <c r="H20" s="649">
        <f>N(Invoer!H40)</f>
        <v/>
      </c>
      <c r="I20" s="649">
        <f>N(Invoer!I40)</f>
        <v/>
      </c>
      <c r="J20" s="649">
        <f>N(Invoer!J40)</f>
        <v/>
      </c>
      <c r="K20" s="649">
        <f>N(Invoer!K40)</f>
        <v/>
      </c>
      <c r="L20" s="58">
        <f>IF(Invoer!L40="","",Invoer!L40)</f>
        <v/>
      </c>
      <c r="M20" s="650">
        <f>N(Invoer!M40)</f>
        <v/>
      </c>
      <c r="N20" s="58">
        <f>IF(Invoer!N40="","",Invoer!N40)</f>
        <v/>
      </c>
      <c r="O20" s="119" t="n"/>
      <c r="P20" s="96">
        <f>IF(Invoer!BK40="","",Invoer!BK40)</f>
        <v/>
      </c>
      <c r="Q20" s="96">
        <f>IF(Invoer!BL40="","",Invoer!BL40)</f>
        <v/>
      </c>
      <c r="R20" s="96">
        <f>IF(Invoer!BM40="","",Invoer!BM40)</f>
        <v/>
      </c>
      <c r="S20" s="96">
        <f>IF(Invoer!BN40="","",Invoer!BN40)</f>
        <v/>
      </c>
      <c r="T20" s="96">
        <f>IF(Invoer!BO40="","",Invoer!BO40)</f>
        <v/>
      </c>
      <c r="U20" s="96">
        <f>IF(Invoer!BP40="","",Invoer!BP40)</f>
        <v/>
      </c>
      <c r="V20" s="60" t="n"/>
      <c r="W20" s="115">
        <f>IF(Invoer!BQ40="","",Invoer!BQ40)</f>
        <v/>
      </c>
      <c r="X20" s="115">
        <f>IF(Invoer!BR40="","",Invoer!BR40)</f>
        <v/>
      </c>
      <c r="Y20" s="60" t="n"/>
      <c r="Z20" s="115">
        <f>IF(Invoer!BS40="","",Invoer!BS40)</f>
        <v/>
      </c>
      <c r="AA20" s="115">
        <f>IF(Invoer!BT40="","",Invoer!BT40)</f>
        <v/>
      </c>
      <c r="AB20" s="115">
        <f>IF(Invoer!P40="","",Invoer!P40)</f>
        <v/>
      </c>
      <c r="AC20" s="60" t="n"/>
      <c r="AD20" s="34">
        <f>IF(Invoer!Q40="","",Invoer!Q40)</f>
        <v/>
      </c>
      <c r="AE20" s="110" t="n"/>
      <c r="AF20" s="96">
        <f>IF(Invoer!R40="","",Invoer!R40)</f>
        <v/>
      </c>
      <c r="AG20" s="107" t="n"/>
      <c r="AH20" s="107" t="n"/>
      <c r="AI20" s="658">
        <f>IF(N(Invoer!S40)=0,"",Invoer!S40)</f>
        <v/>
      </c>
      <c r="AJ20" s="659">
        <f>IF(Invoer!T40="","",Invoer!T40)</f>
        <v/>
      </c>
      <c r="AK20" s="365" t="n"/>
      <c r="AL20" s="659">
        <f>IF(Invoer!U40="","",Invoer!U40)</f>
        <v/>
      </c>
      <c r="AM20" s="659">
        <f>IF(Invoer!V40="","",Invoer!V40)</f>
        <v/>
      </c>
      <c r="AN20" s="659">
        <f>IF(Invoer!W40="","",Invoer!W40)</f>
        <v/>
      </c>
      <c r="AO20" s="368" t="n"/>
      <c r="AP20" s="660">
        <f>N(Invoer!X40)</f>
        <v/>
      </c>
      <c r="AQ20" s="660">
        <f>N(Invoer!Y40)</f>
        <v/>
      </c>
      <c r="AR20" s="660">
        <f>N(Invoer!Z40)</f>
        <v/>
      </c>
      <c r="AS20" s="660">
        <f>N(Invoer!AA40)</f>
        <v/>
      </c>
      <c r="AT20" s="660">
        <f>N(Invoer!AB40)</f>
        <v/>
      </c>
      <c r="AU20" s="660">
        <f>N(Invoer!AC40)</f>
        <v/>
      </c>
      <c r="AV20" s="368" t="n"/>
      <c r="AW20" s="661">
        <f>N(Invoer!AD40)</f>
        <v/>
      </c>
      <c r="AX20" s="368" t="n"/>
      <c r="AY20" s="541">
        <f>IF(Periodiciteit&lt;&gt;"",(uurtarief_wd*(IF(ISNUMBER(tijd_wd),tijd_wd,0))+uurtarief_td*(IF(ISNUMBER(tijd_td),tijd_td,0))+uurtarief_sb*(IF(ISNUMBER(tijd_sb),tijd_sb,0))+uurtarief_rw*(IF(ISNUMBER(tijd_rw),tijd_rw,0))+uurtarief_d*(IF(ISNUMBER(tijd_d),tijd_d,0))+uurtarief_3*(IF(ISNUMBER(tijd_3),tijd_3,0)) +(IF(ISNUMBER(f_vast),f_vast,0)))*(IF(Perio_int="j",1,IF(Perio_int="m",12,IF(Perio_int="w",52,IF(Perio_int="d",365,0)))))*Periodiciteit*aantal_componenten,"")</f>
        <v/>
      </c>
      <c r="AZ20" s="368" t="n"/>
      <c r="BA20" s="542">
        <f>IF(N(Invoer!AE40)=0,"",Invoer!AE40)</f>
        <v/>
      </c>
      <c r="BB20" s="368" t="n"/>
      <c r="BC20" s="542">
        <f>IF(AND(Periodiciteit&lt;&gt;"",Kosten_res_pk&lt;&gt;""), Kosten_res_pk*(IF(Perio_int="j",1,IF(Perio_int="m",12,IF(Perio_int="w",52,IF(Perio_int="d",365,0)))))*Periodiciteit*aantal_componenten,"")</f>
        <v/>
      </c>
      <c r="BD20" s="368" t="n"/>
      <c r="BE20" s="370" t="n"/>
      <c r="BF20" s="368" t="n"/>
      <c r="BG20" s="542">
        <f>IF(Kosten_res_trade &lt;&gt;"", Kosten_res_trade, Kosten_res_jaar )</f>
        <v/>
      </c>
      <c r="BH20" s="368" t="n"/>
      <c r="BI20" s="543">
        <f>IF(N(Invoer!AF40)=0,"",Invoer!AF40)</f>
        <v/>
      </c>
      <c r="BJ20" s="368" t="n"/>
      <c r="BK20" s="543">
        <f>IF(AND(Periodiciteit&lt;&gt;"",Gevolgkosten&lt;&gt;""), Gevolgkosten*(IF(Perio_int="j",1,IF(Perio_int="m",12,IF(Perio_int="w",52,IF(Perio_int="d",365,0)))))*Periodiciteit*aantal_componenten,"")</f>
        <v/>
      </c>
      <c r="BL20" s="368" t="n"/>
      <c r="BM20" s="660">
        <f>N(Invoer!AJ40)</f>
        <v/>
      </c>
      <c r="BN20" s="662">
        <f>N(Invoer!AK40)</f>
        <v/>
      </c>
      <c r="BO20" s="662">
        <f>N(Invoer!AL40)</f>
        <v/>
      </c>
      <c r="BP20" s="662">
        <f>N(Invoer!AM40)</f>
        <v/>
      </c>
      <c r="BQ20" s="368" t="n"/>
      <c r="BR20" s="662">
        <f>N(Invoer!AN40)</f>
        <v/>
      </c>
      <c r="BS20" s="543">
        <f>IF(N(Invoer!AO40)=0,"",Invoer!AO40)</f>
        <v/>
      </c>
      <c r="BT20" s="662">
        <f>N(Invoer!AP40)</f>
        <v/>
      </c>
      <c r="BU20" s="368" t="n"/>
      <c r="BV20" s="662">
        <f>N(Invoer!AQ40)</f>
        <v/>
      </c>
      <c r="BW20" s="663">
        <f>N(Invoer!AR40)</f>
        <v/>
      </c>
      <c r="BX20" s="480" t="n"/>
      <c r="BY20" s="477" t="n"/>
      <c r="BZ20" s="107" t="n"/>
      <c r="CA20" s="64">
        <f>IF(N(Invoer!AG40)=0,"",Invoer!AG40)</f>
        <v/>
      </c>
      <c r="CB20" s="657">
        <f>N(Invoer!AH40)</f>
        <v/>
      </c>
      <c r="CC20" s="657">
        <f>N(Invoer!AI40)</f>
        <v/>
      </c>
      <c r="CD20" s="64">
        <f>IF( OR(CO_rep&lt;&gt;"",CO_verv&lt;&gt;""),IF(lambda_fabrikant&lt;&gt;"",IF(Uitvoeren_missie="N", (1-EXP(-aantal_componenten*lambda_fabrikant*Missieduur*p_gebruik_missie))/Missieduur/aantal_componenten,
IF(doorlooptijd_missie_i &lt;&gt; 0,((aantal_componenten*lambda_fabrikant*(1/doorlooptijd_missie_i)/(aantal_componenten*lambda_fabrikant+1/doorlooptijd_missie_i))*Missieduur*p_gebruik_missie+(aantal_componenten*lambda_fabrikant)^2/(aantal_componenten*lambda_fabrikant+1/doorlooptijd_missie_i)^2*(1-EXP(-(aantal_componenten*lambda_fabrikant+1/doorlooptijd_missie_i)*Missieduur*p_gebruik_missie)))/Missieduur/aantal_componenten,lambda_fabrikant*p_gebruik_missie)),""),"")</f>
        <v/>
      </c>
      <c r="CE20" s="64">
        <f>IF( OR(CO_rep&lt;&gt;"",CO_verv&lt;&gt;""),IF(lambda_fabrikant&lt;&gt;"",IF(uitvoeren_GO = "J", (1-EXP(-(aantal_componenten*lambda_fabrikant*p_gebruik_wal* interval_groot_onderhoud/8760*Missies_per_jaar*walduur)))/ (interval_groot_onderhoud/8760*Missies_per_jaar*walduur) / aantal_componenten,IF(doorlooptijd_wal_i &lt;&gt; 0,((aantal_componenten*lambda_fabrikant*(1/doorlooptijd_wal_i)/(aantal_componenten*lambda_fabrikant+1/doorlooptijd_wal_i))*walduur*p_gebruik_wal+(aantal_componenten*lambda_fabrikant)^2/(aantal_componenten*lambda_fabrikant+1/doorlooptijd_wal_i)^2*(1-EXP(-(aantal_componenten*lambda_fabrikant+1/doorlooptijd_wal_i)*walduur*p_gebruik_wal)))/walduur/aantal_componenten,lambda_fabrikant*p_gebruik_wal)),""),"")</f>
        <v/>
      </c>
      <c r="CF20" s="64">
        <f>IF( OR(CO_rep&lt;&gt;"",CO_verv&lt;&gt;""),
IF(OR(lambda_missie_g&lt;&gt;"",lambda_wal_g&lt;&gt;""), "", IF(Perio_int="j",1/8760, IF(Perio_int="m",12/8760, IF(Perio_int="w",52/8760, IF(Perio_int="d",365/8760,"error") ) ) )*Periodiciteit),"")</f>
        <v/>
      </c>
      <c r="CG20" s="66">
        <f>IF(OR(CO_rep&lt;&gt;"",CO_verv&lt;&gt;""),1,"")</f>
        <v/>
      </c>
      <c r="CH20" s="64">
        <f>IF( OR(CO_rep&lt;&gt;"",CO_verv&lt;&gt;""),IF(lambda_fabrikant="",lambda_kalendertijd*missiepercentage*8760/(Missies_per_jaar*Missieduur),""),"")</f>
        <v/>
      </c>
      <c r="CI20" s="64">
        <f>IF( OR(CO_rep&lt;&gt;"",CO_verv&lt;&gt;""),IF(lambda_fabrikant="",lambda_kalendertijd*(1-missiepercentage)*8760/(Missies_per_jaar*walduur),""),"")</f>
        <v/>
      </c>
      <c r="CJ20" s="64">
        <f>IF( OR(CO_rep&lt;&gt;"",CO_verv&lt;&gt;""),
IF(OR(lambda_missie_g&lt;&gt;"",lambda_wal_g&lt;&gt;""), (lambda_missie_g*Missieduur + lambda_wal_g*walduur)/8760*Missies_per_jaar, lambda_kalendertijd),"")</f>
        <v/>
      </c>
      <c r="CK20" s="64">
        <f>IF(lambda&lt;&gt;"",m_schip*lambda,"")</f>
        <v/>
      </c>
      <c r="CL20" s="65">
        <f>IF(OR(CO_rep&lt;&gt;"",CO_verv&lt;&gt;""),IF(Redundantie = "J","?",1),"")</f>
        <v/>
      </c>
      <c r="CM20" s="64">
        <f>IF(lambda&lt;&gt;"",IF(Redundantie="J",IF(lambda_missie_g&lt;&gt;"",lambda_missie_g*redundantie_factor,lambda_missie*redundantie_factor),IF(lambda_missie_g&lt;&gt;"",lambda_missie_g*m_schip,lambda_missie*m_schip)),"")</f>
        <v/>
      </c>
      <c r="CN20" s="64">
        <f>IF(lambda&lt;&gt;"",lambda_functie*Missieduur*Missies_per_jaar/8760,"")</f>
        <v/>
      </c>
      <c r="CO20" s="64">
        <f>IF(lambda&lt;&gt;"",IF(Redundantie="J",IF(lambda_wal_g&lt;&gt;"",lambda_wal_g*redundantie_factor,lambda_wal*redundantie_factor),IF(lambda_wal_g&lt;&gt;"",lambda_wal_g*m_schip,lambda_wal*m_schip)),"")</f>
        <v/>
      </c>
      <c r="CP20" s="64">
        <f>IF(lambda&lt;&gt;"",lambda_functie_wal*walduur*Missies_per_jaar/8760,"")</f>
        <v/>
      </c>
      <c r="CQ20" s="107" t="n"/>
      <c r="CR20" s="115">
        <f>IF(OR(CO_verv&lt;&gt;"",CO_rep&lt;&gt;""),aantal_componenten,"")</f>
        <v/>
      </c>
      <c r="CS20" s="66">
        <f>IF( OR(CO_rep&lt;&gt;"",CO_verv&lt;&gt;""),IF(Aantal_res_boord=0,1,IF(lambda_missie_g&lt;&gt;"",1-POISSON(Aantal_res_boord-1,m_schip*lambda_missie_g*Missieduur,TRUE),1-POISSON(Aantal_res_boord-1,m_schip*lambda_missie*Missieduur,TRUE))),"")</f>
        <v/>
      </c>
      <c r="CT20" s="107" t="n"/>
      <c r="CU20" s="115">
        <f>IF(OR(CO_verv&lt;&gt;"",CO_rep&lt;&gt;""),Aantal_fregatten * m_schip,"")</f>
        <v/>
      </c>
      <c r="CV20" s="65">
        <f>IF(AND(lambda&gt;0,Aantal_ini_wal&gt;=0,Aantal_res_wal&lt;&gt;""),IF(Aantal_ini_wal&gt;Aantal_res_wal,(Aantal_ini_wal-Aantal_res_wal)/(m_vloot*lambda*8760),0),"")</f>
        <v/>
      </c>
      <c r="CW20" s="65">
        <f>IF(AND(lambda&gt;0,Aantal_max_wal&gt;=0,Aantal_res_wal&lt;&gt;""),IF(Aantal_max_wal&gt;Aantal_res_wal,(Aantal_max_wal-Aantal_res_wal)/(m_vloot*lambda*8760),0),"")</f>
        <v/>
      </c>
      <c r="CX20" s="68">
        <f>IF(AND(ini_periode&lt;&gt;"",bestel_interval&lt;&gt;"",besteltijd&lt;&gt;""),IF(ini_periode&gt;=Looptijd,0,
IF(bestel_interval&gt;=(Looptijd-ini_periode),IF(besteltijd&lt;(Looptijd-ini_periode),besteltijd/8760/Looptijd,(Looptijd-ini_periode)/Looptijd),
IF(((Looptijd-ini_periode)-(INT((Looptijd-ini_periode)/(besteltijd/8760+bestel_interval))))&gt;=besteltijd/8760,(1+INT((Looptijd-ini_periode)/(besteltijd/8760+bestel_interval)))*(besteltijd/8760)/Looptijd,(INT((Looptijd-ini_periode)/(besteltijd/8760+bestel_interval))*(besteltijd/8760)+((Looptijd-ini_periode)-(INT((Looptijd-ini_periode)/(besteltijd/8760+bestel_interval)))*(besteltijd/8760+bestel_interval)))/Looptijd))),"")</f>
        <v/>
      </c>
      <c r="CY20" s="66">
        <f>IF( OR(CO_rep&lt;&gt;"",CO_verv&lt;&gt;""),
IF( Aantal_res_wal+(Aantal_fregatten-1)*Aantal_res_boord=0, 1*IF(percentage_looptijd_inbestelling&lt;&gt;"",percentage_looptijd_inbestelling,1),
(1-POISSON(Aantal_res_wal-1+(Aantal_fregatten-1)*Aantal_res_boord, m_vloot*lambda*besteltijd,TRUE))*IF(percentage_looptijd_inbestelling&lt;&gt;"",percentage_looptijd_inbestelling,1)),"")</f>
        <v/>
      </c>
      <c r="CZ20" s="66">
        <f>IF( OR(CO_rep&lt;&gt;"",CO_verv&lt;&gt;""),IF( Aantal_res_wal=0,1, 1-POISSON(Aantal_res_boord+Aantal_res_wal-1, m_vloot*lambda*besteltijd,TRUE) ),"")</f>
        <v/>
      </c>
      <c r="DA20" s="107" t="n"/>
      <c r="DB20" s="115">
        <f>IF(OR(Uitvoeren_missie&lt;&gt;"J",uitvoeren_bedrijf="J",uitvoeren_GO="J"), "",
IF(TAO_revisie&lt;&gt;"", TAO_rev_verv_tijd,
IF(TAO_vervanging&lt;&gt;"", TAO_rev_verv_tijd,
IF(PO_doorlooptijd&lt;&gt;0, PO_doorlooptijd,"" ))))</f>
        <v/>
      </c>
      <c r="DC20" s="107" t="n"/>
      <c r="DD20" s="115">
        <f>IF(AND(CO_rep&lt;&gt;"", Uitvoeren_missie="N"), Missieduur,
IF(AND(CO_rep&lt;&gt;"", Uitvoeren_missie="J"), CO_zoektijd + CO_rep_verv_tijd,""))</f>
        <v/>
      </c>
      <c r="DE20" s="115">
        <f>IF(AND(CO_verv&lt;&gt;"", Uitvoeren_missie="N"), Missieduur,
IF(AND(CO_verv&lt;&gt;"", Uitvoeren_missie="J"), CO_zoektijd + CO_rep_verv_tijd,""))</f>
        <v/>
      </c>
      <c r="DF20" s="115">
        <f>IF(AND(CO_verv&lt;&gt;"", Uitvoeren_missie="N"), Missieduur,
IF(AND(CO_verv&lt;&gt;"", Uitvoeren_missie="J"), wachttijd_invlieg+CO_zoektijd + CO_rep_verv_tijd,""))</f>
        <v/>
      </c>
      <c r="DG20" s="115">
        <f>IF(AND(CO_verv&lt;&gt;"", Uitvoeren_missie="N"), Missieduur,
IF(AND(CO_verv&lt;&gt;"", Uitvoeren_missie="J"), besteltijd + wachttijd_invlieg + CO_zoektijd + CO_rep_verv_tijd,""))</f>
        <v/>
      </c>
      <c r="DH20" s="115">
        <f> IF(AND(doorlooptijd_missie_met&lt;&gt;"",CO_verv&lt;&gt;""), P_op_boord* ( P_op_vloot*doorlooptijd_missie_zonder + (1-P_op_vloot)*doorlooptijd_invlieg ) + (1-P_op_boord)* doorlooptijd_missie_met, "")</f>
        <v/>
      </c>
      <c r="DI20" s="115">
        <f>IF(CO_rep&lt;&gt;"",doorlooptijd_missie_rep,IF(AND(CO_verv&lt;&gt;"",Aantal_res_boord&lt;&gt;"",Aantal_res_boord&lt;&gt;0),doorlooptijd_missie_met,IF(AND(CO_verv&lt;&gt;"",Aantal_max_wal&lt;&gt;"",Aantal_max_wal&lt;&gt;0),doorlooptijd_invlieg,doorlooptijd_missie_zonder)))</f>
        <v/>
      </c>
      <c r="DJ20" s="115">
        <f>IF(doorlooptijd_missie_verv&lt;&gt;"", doorlooptijd_missie_verv, IF(doorlooptijd_missie_rep&lt;&gt;"", doorlooptijd_missie_rep,""))</f>
        <v/>
      </c>
      <c r="DK20" s="107" t="n"/>
      <c r="DL20" s="115">
        <f> IF(CO_rep&lt;&gt;"", CO_zoektijd + CO_rep_verv_tijd,"")</f>
        <v/>
      </c>
      <c r="DM20" s="115">
        <f> IF(AND(CO_verv&lt;&gt;"",CO_rep=""), wachttijd_wal+CO_zoektijd + CO_rep_verv_tijd,"")</f>
        <v/>
      </c>
      <c r="DN20" s="115">
        <f> IF(AND(CO_verv&lt;&gt;"",CO_rep=""), wachttijd_invlieg+CO_zoektijd + CO_rep_verv_tijd,"")</f>
        <v/>
      </c>
      <c r="DO20" s="115">
        <f>IF(AND(CO_verv&lt;&gt;"",CO_rep=""), besteltijd + wachttijd_wal + CO_zoektijd + CO_rep_verv_tijd,"")</f>
        <v/>
      </c>
      <c r="DP20" s="69">
        <f> IF(AND(doorlooptijd_van_wal&lt;&gt;"",CO_verv&lt;&gt;""), P_op_vloot*doorlooptijd_wal_zonder +
(1-P_op_vloot)*(P_op_wal*Doorlooptijd_transport+ (1-P_op_wal)*doorlooptijd_van_wal ), "")</f>
        <v/>
      </c>
      <c r="DQ20" s="115">
        <f>IF(CO_rep&lt;&gt;"",doorlooptijd_wal_rep,IF(AND(CO_verv&lt;&gt;"",AND(Aantal_res_boord&lt;&gt;"",Aantal_res_boord&lt;&gt;0)),doorlooptijd_van_wal,IF(AND(CO_verv&lt;&gt;"",AND(Aantal_max_wal&lt;&gt;"",Aantal_max_wal&lt;&gt;0)),Doorlooptijd_transport,doorlooptijd_wal_zonder)))</f>
        <v/>
      </c>
      <c r="DR20" s="115">
        <f>IF(doorlooptijd_wal_verv&lt;&gt;"", doorlooptijd_wal_verv, IF(doorlooptijd_wal_rep&lt;&gt;"", doorlooptijd_wal_rep,""))</f>
        <v/>
      </c>
      <c r="DS20" s="107" t="n"/>
      <c r="DT20" s="64">
        <f>IF(OR(CO_verv&lt;&gt;"",CO_rep&lt;&gt;""),IF(lambda_functie&lt;&gt;"",ONB_missie_tussenberekening_1 + ONB_missie_tussenberekening_2,""),"")</f>
        <v/>
      </c>
      <c r="DU20" s="64">
        <f>IF(OR(CO_rep&lt;&gt;"",CO_verv&lt;&gt;""),IF(lambda_functie&lt;&gt;"",IF(Uitvoeren_missie="N",1-(1-EXP(-lambda_functie*Missieduur))/(lambda_functie*Missieduur),IF(CO_verv&lt;&gt;"",
(1-P_op_boord)*IF(doorlooptijd_missie_met&lt;&gt;0,lambda_functie/(lambda_functie+(1/doorlooptijd_missie_met))-lambda_functie/((lambda_functie+(1/doorlooptijd_missie_met))^2*Missieduur)*(1-EXP(-(lambda_functie+(1/doorlooptijd_missie_met))*Missieduur)),0)+P_op_boord*((1-P_op_vloot)*IF(doorlooptijd_invlieg&lt;&gt;0,lambda_functie/(lambda_functie+(1 /doorlooptijd_invlieg))-lambda_functie/((lambda_functie+(1/doorlooptijd_invlieg))^2*Missieduur)*(1-EXP(-(lambda_functie+(1/doorlooptijd_invlieg))*Missieduur)),0)+P_op_vloot*IF(doorlooptijd_missie_zonder&lt;&gt;0,lambda_functie/(lambda_functie+(1/doorlooptijd_missie_zonder))-lambda_functie/((lambda_functie+(1/doorlooptijd_missie_zonder))^2*Missieduur)*(1-EXP(-(lambda_functie+(1/doorlooptijd_missie_zonder))*Missieduur)),0)),0)),0),"")</f>
        <v/>
      </c>
      <c r="DV20" s="64">
        <f>IF(OR(CO_rep&lt;&gt;"",CO_verv&lt;&gt;""),IF(lambda_functie&lt;&gt;"",IF(CO_rep&lt;&gt;"",
IF(doorlooptijd_missie_rep&lt;&gt;0,lambda_functie/(lambda_functie+(1/doorlooptijd_missie_rep))-lambda_functie/((lambda_functie+(1/doorlooptijd_missie_rep))^2*Missieduur)*(1-EXP(-(lambda_functie+(1/doorlooptijd_missie_rep))*Missieduur)),0),0)),"")</f>
        <v/>
      </c>
      <c r="DW20" s="66">
        <f>IF(ONB_missie="","",IF(tot_ONB_missie&lt;&gt;0,ONB_missie/tot_ONB_missie,0))</f>
        <v/>
      </c>
      <c r="DX20" s="115">
        <f>IF(Lijst_componenten="","", IF(OR(DT20=0,DT20=""),DX19, IF(DX19="",DT20,1-(1-DT20)*(1-DX19))))</f>
        <v/>
      </c>
      <c r="DY20" s="107" t="n"/>
      <c r="DZ20" s="96">
        <f>IF(OR(CO_rep&lt;&gt;"",CO_verv&lt;&gt;""),IF(uitvoeren_GO="J",ONB_tussenberekening_1,IF(CO_rep&lt;&gt;"",ONB_tussenberekening_2,ONB_tussenberekening_3+ONB_tussenberekening_4+ONB_tussenberekening_5)),"")</f>
        <v/>
      </c>
      <c r="EA20" s="96">
        <f>IF(OR(CO_rep&lt;&gt;"",CO_verv&lt;&gt;""),IF(AND(OR(lambda_functie_kalendertijd&lt;&gt;"",lambda_functie_wal_kalendertijd&lt;&gt;""),uitvoeren_GO="J"),
1-(1-EXP(-(lambda_functie_kalendertijd+lambda_functie_wal_kalendertijd)*interval_groot_onderhoud))
/((lambda_functie_kalendertijd+lambda_functie_wal_kalendertijd)*interval_groot_onderhoud),0),"")</f>
        <v/>
      </c>
      <c r="EB20" s="96">
        <f>IF(OR(CO_rep&lt;&gt;"",CO_verv&lt;&gt;""),IF(AND(CO_rep &lt;&gt;"",OR(doorlooptijd_missie_rep&gt;=walduur,doorlooptijd_wal_rep &gt;= walduur)),IF(doorlooptijd_missie_rep &gt;= walduur,lambda_functie_kalendertijd / (lambda_functie_kalendertijd + 1/doorlooptijd_missie_rep),0)
+ IF(doorlooptijd_wal_rep &gt;= walduur,lambda_functie_wal_kalendertijd / (lambda_functie_wal_kalendertijd + 1/doorlooptijd_wal_rep),0),IF(CO_rep &lt;&gt; "",(1 -EXP(-(lambda_functie_wal_kalendertijd + 1 / doorlooptijd_wal_rep)*walduur))
* lambda_functie_wal_kalendertijd / (lambda_functie_wal_kalendertijd + 1/ doorlooptijd_wal_rep),0)),"")</f>
        <v/>
      </c>
      <c r="EC20" s="96">
        <f>IF(OR(CO_rep&lt;&gt;"",CO_verv&lt;&gt;""),IF(CO_verv&lt;&gt;"",
P_op_boord* ( P_op_vloot*IF(doorlooptijd_missie_zonder&gt;=walduur, lambda_functie_kalendertijd / (lambda_functie_kalendertijd + 1/doorlooptijd_missie_zonder),0)+ (1- P_op_vloot)*IF(doorlooptijd_invlieg&gt;=walduur, lambda_functie_kalendertijd / (lambda_functie_kalendertijd + 1 /doorlooptijd_invlieg),0) )
+ (1- P_op_boord) * IF(doorlooptijd_missie_met&gt;=walduur,lambda_functie_kalendertijd / (lambda_functie_kalendertijd + 1 / doorlooptijd_missie_met),0),0),"")</f>
        <v/>
      </c>
      <c r="ED20" s="96">
        <f>IF(OR(CO_rep&lt;&gt;"",CO_verv&lt;&gt;""),IF(CO_verv &lt;&gt;"",
(1-P_op_vloot)*((1 - P_op_wal)*IF(doorlooptijd_van_wal&gt;=walduur,lambda_functie_wal_kalendertijd/(lambda_functie_wal_kalendertijd+ 1/ doorlooptijd_van_wal),0)
+ P_op_wal*IF(Doorlooptijd_transport&gt;=walduur,lambda_functie_wal_kalendertijd / (lambda_functie_wal_kalendertijd +1/Doorlooptijd_transport),0) )+ P_op_vloot*IF(doorlooptijd_wal_zonder&gt;=walduur, lambda_functie_wal_kalendertijd / (lambda_functie_wal_kalendertijd + 1/ doorlooptijd_wal_zonder),0),0),"")</f>
        <v/>
      </c>
      <c r="EE20" s="96">
        <f>IF(OR(CO_rep&lt;&gt;"",CO_verv&lt;&gt;""),IF(CO_verv &lt;&gt;"",
(1-P_op_vloot)* ( (1- P_op_wal)* (IF(AND(doorlooptijd_van_wal&lt;&gt;0,doorlooptijd_van_wal&lt;walduur),(1 -EXP(-(lambda_functie_wal_kalendertijd + 1 / doorlooptijd_van_wal)*walduur))
* lambda_functie_wal_kalendertijd / (lambda_functie_wal_kalendertijd + 1/ doorlooptijd_van_wal),0))
+ P_op_wal*(IF(AND(Doorlooptijd_transport&lt;&gt;0,Doorlooptijd_transport&lt;walduur),(1 -EXP(-(lambda_functie_wal_kalendertijd + 1 / Doorlooptijd_transport)*walduur))
* lambda_functie_wal_kalendertijd /(lambda_functie_wal_kalendertijd + 1/ Doorlooptijd_transport),0)))
+ P_op_vloot*(IF(AND(doorlooptijd_wal_zonder&lt;&gt;0,doorlooptijd_wal_zonder&lt;walduur),(1 -EXP(-(lambda_functie_wal_kalendertijd + 1 / doorlooptijd_wal_zonder)*walduur))
* lambda_functie_wal_kalendertijd / (lambda_functie_wal_kalendertijd + 1/ doorlooptijd_wal_zonder),0)),0),"")</f>
        <v/>
      </c>
      <c r="EF20" s="66">
        <f>IF(ONB_aanvang="","",IF(tot_ONB_aanvang&lt;&gt;0,ONB_aanvang/tot_ONB_aanvang,0))</f>
        <v/>
      </c>
      <c r="EG20" s="115">
        <f>IF(Lijst_componenten="","", IF(OR(DZ20=0,DZ20=""),EG19, IF(EG19="",DZ20,1-(1-DZ20)*(1-EG19))))</f>
        <v/>
      </c>
      <c r="EH20" s="107" t="n"/>
      <c r="EI20" s="40">
        <f>IF(Invoer!BE40="","",Invoer!BE40)</f>
        <v/>
      </c>
      <c r="EJ20" s="71" t="n"/>
      <c r="EK20" s="120" t="n"/>
      <c r="EL20" s="119" t="n"/>
      <c r="EM20" s="107" t="n"/>
      <c r="EN20" s="72" t="n"/>
      <c r="EO20" s="107" t="n"/>
      <c r="EP20" s="107" t="n"/>
      <c r="EQ20" s="119" t="n"/>
      <c r="ER20" s="120" t="n"/>
      <c r="ES20" s="119" t="n"/>
      <c r="ET20" s="119" t="n"/>
      <c r="EU20" s="115">
        <f>IF(Invoer!AS40="","",Invoer!AS40)</f>
        <v/>
      </c>
      <c r="EV20" s="115">
        <f>IF(Invoer!AT40="","",Invoer!AT40)</f>
        <v/>
      </c>
      <c r="EW20" s="115">
        <f>IF(Invoer!AU40="","",Invoer!AU40)</f>
        <v/>
      </c>
      <c r="EX20" s="115">
        <f>IF(Invoer!AV40="","",Invoer!AV40)</f>
        <v/>
      </c>
      <c r="EY20" s="115">
        <f>IF(Invoer!AW40="","",Invoer!AW40)</f>
        <v/>
      </c>
      <c r="EZ20" s="115">
        <f>IF(Invoer!AX40="","",Invoer!AX40)</f>
        <v/>
      </c>
      <c r="FA20" s="115">
        <f>IF(Invoer!AY40="","",Invoer!AY40)</f>
        <v/>
      </c>
      <c r="FB20" s="115">
        <f>IF(Invoer!AZ40="","",Invoer!AZ40)</f>
        <v/>
      </c>
      <c r="FC20" s="115">
        <f>IF(Invoer!BA40="","",Invoer!BA40)</f>
        <v/>
      </c>
      <c r="FD20" s="115">
        <f>IF(Invoer!BB40="","",Invoer!BB40)</f>
        <v/>
      </c>
      <c r="FE20" s="348" t="n"/>
      <c r="FF20" s="118">
        <f>IF(AND(functie_1&lt;&gt;"",lambda&lt;&gt;""),lambda*m_schip,"")</f>
        <v/>
      </c>
      <c r="FG20" s="118">
        <f>IF(functie_1&lt;&gt;"",lambda_functie,"")</f>
        <v/>
      </c>
      <c r="FH20" s="118">
        <f>IF(functie_1&lt;&gt;"",ONB_missie,"")</f>
        <v/>
      </c>
      <c r="FI20" s="115">
        <f>IF(Lijst_componenten="","", IF(OR(FH20=0,FH20=""),FI19, IF(FI19="",FH20,1-(1-FH20)*(1-FI19))))</f>
        <v/>
      </c>
      <c r="FJ20" s="118">
        <f>IF(functie_1&lt;&gt;"",ONB_aanvang,"")</f>
        <v/>
      </c>
      <c r="FK20" s="115">
        <f>IF(Lijst_componenten="","", IF(OR(FJ20=0,FJ20=""),FK19, IF(FK19="",FJ20,1-(1-FJ20)*(1-FK19))))</f>
        <v/>
      </c>
      <c r="FL20" s="107" t="n"/>
      <c r="FM20" s="118">
        <f>IF(AND(functie_2&lt;&gt;"",lambda&lt;&gt;""),lambda*m_schip,"")</f>
        <v/>
      </c>
      <c r="FN20" s="118">
        <f>IF(functie_2&lt;&gt;"",lambda_functie,"")</f>
        <v/>
      </c>
      <c r="FO20" s="118">
        <f>IF(functie_2&lt;&gt;"",ONB_missie,"")</f>
        <v/>
      </c>
      <c r="FP20" s="115">
        <f>IF(Lijst_componenten="","", IF(OR(FO20=0,FO20=""),FP19, IF(FP19="",FO20,1-(1-FO20)*(1-FP19))))</f>
        <v/>
      </c>
      <c r="FQ20" s="118">
        <f>IF(functie_2&lt;&gt;"",ONB_aanvang,"")</f>
        <v/>
      </c>
      <c r="FR20" s="115">
        <f>IF(Lijst_componenten="","", IF(OR(FQ20=0,FQ20=""),FR19, IF(FR19="",FQ20,1-(1-FQ20)*(1-FR19))))</f>
        <v/>
      </c>
      <c r="FS20" s="107" t="n"/>
      <c r="FT20" s="118">
        <f>IF(AND(functie_3&lt;&gt;"",lambda&lt;&gt;""),lambda*m_schip,"")</f>
        <v/>
      </c>
      <c r="FU20" s="118">
        <f>IF(functie_3&lt;&gt;"",lambda_functie,"")</f>
        <v/>
      </c>
      <c r="FV20" s="118">
        <f>IF(functie_3&lt;&gt;"",ONB_missie,"")</f>
        <v/>
      </c>
      <c r="FW20" s="115">
        <f>IF(Lijst_componenten="","", IF(OR(FV20=0,FV20=""),FW19, IF(FW19="",FV20,1-(1-FV20)*(1-FW19))))</f>
        <v/>
      </c>
      <c r="FX20" s="118">
        <f>IF(functie_3&lt;&gt;"",ONB_aanvang,"")</f>
        <v/>
      </c>
      <c r="FY20" s="115">
        <f>IF(Lijst_componenten="","", IF(OR(FX20=0,FX20=""),FY19, IF(FY19="",FX20,1-(1-FX20)*(1-FY19))))</f>
        <v/>
      </c>
      <c r="FZ20" s="107" t="n"/>
      <c r="GA20" s="118">
        <f>IF(AND(functie_4&lt;&gt;"",lambda&lt;&gt;""),lambda*m_schip,"")</f>
        <v/>
      </c>
      <c r="GB20" s="118">
        <f>IF(functie_4&lt;&gt;"",lambda_functie,"")</f>
        <v/>
      </c>
      <c r="GC20" s="118">
        <f>IF(functie_4&lt;&gt;"",ONB_missie,"")</f>
        <v/>
      </c>
      <c r="GD20" s="115">
        <f>IF(Lijst_componenten="","", IF(OR(GC20=0,GC20=""),GD19, IF(GD19="",GC20,1-(1-GC20)*(1-GD19))))</f>
        <v/>
      </c>
      <c r="GE20" s="118">
        <f>IF(functie_4&lt;&gt;"",ONB_aanvang,"")</f>
        <v/>
      </c>
      <c r="GF20" s="115">
        <f>IF(Lijst_componenten="","", IF(OR(GE20=0,GE20=""),GF19, IF(GF19="",GE20,1-(1-GE20)*(1-GF19))))</f>
        <v/>
      </c>
      <c r="GG20" s="107" t="n"/>
      <c r="GH20" s="118">
        <f>IF(AND(functie_5&lt;&gt;"",lambda&lt;&gt;""),lambda*m_schip,"")</f>
        <v/>
      </c>
      <c r="GI20" s="118">
        <f>IF(functie_5&lt;&gt;"",lambda_functie,"")</f>
        <v/>
      </c>
      <c r="GJ20" s="118">
        <f>IF(functie_5&lt;&gt;"",ONB_missie,"")</f>
        <v/>
      </c>
      <c r="GK20" s="115">
        <f>IF(Lijst_componenten="","", IF(OR(GJ20=0,GJ20=""),GK19, IF(GK19="",GJ20,1-(1-GJ20)*(1-GK19))))</f>
        <v/>
      </c>
      <c r="GL20" s="118">
        <f>IF(functie_5&lt;&gt;"",ONB_aanvang,"")</f>
        <v/>
      </c>
      <c r="GM20" s="115">
        <f>IF(Lijst_componenten="","", IF(OR(GL20=0,GL20=""),GM19, IF(GM19="",GL20,1-(1-GL20)*(1-GM19))))</f>
        <v/>
      </c>
      <c r="GN20" s="107" t="n"/>
      <c r="GO20" s="118">
        <f>IF(AND(functie_6&lt;&gt;"",lambda&lt;&gt;""),lambda*m_schip,"")</f>
        <v/>
      </c>
      <c r="GP20" s="118">
        <f>IF(functie_6&lt;&gt;"",lambda_functie,"")</f>
        <v/>
      </c>
      <c r="GQ20" s="118">
        <f>IF(functie_6&lt;&gt;"",ONB_missie,"")</f>
        <v/>
      </c>
      <c r="GR20" s="115">
        <f>IF(Lijst_componenten="","", IF(OR(GQ20=0,GQ20=""),GR19, IF(GR19="",GQ20,1-(1-GQ20)*(1-GR19))))</f>
        <v/>
      </c>
      <c r="GS20" s="118">
        <f>IF(functie_6&lt;&gt;"",ONB_aanvang,"")</f>
        <v/>
      </c>
      <c r="GT20" s="115">
        <f>IF(Lijst_componenten="","", IF(OR(GS20=0,GS20=""),GT19, IF(GT19="",GS20,1-(1-GS20)*(1-GT19))))</f>
        <v/>
      </c>
      <c r="GU20" s="107" t="n"/>
      <c r="GV20" s="118">
        <f>IF(AND(functie_7&lt;&gt;"",lambda&lt;&gt;""),lambda*m_schip,"")</f>
        <v/>
      </c>
      <c r="GW20" s="118">
        <f>IF(functie_7&lt;&gt;"",lambda_functie,"")</f>
        <v/>
      </c>
      <c r="GX20" s="118">
        <f>IF(functie_7&lt;&gt;"",ONB_missie,"")</f>
        <v/>
      </c>
      <c r="GY20" s="115">
        <f>IF(Lijst_componenten="","", IF(OR(GX20=0,GX20=""),GY19, IF(GY19="",GX20,1-(1-GX20)*(1-GY19))))</f>
        <v/>
      </c>
      <c r="GZ20" s="118">
        <f>IF(functie_7&lt;&gt;"",ONB_aanvang,"")</f>
        <v/>
      </c>
      <c r="HA20" s="115">
        <f>IF(Lijst_componenten="","", IF(OR(GZ20=0,GZ20=""),HA19, IF(HA19="",GZ20,1-(1-GZ20)*(1-HA19))))</f>
        <v/>
      </c>
      <c r="HB20" s="107" t="n"/>
      <c r="HC20" s="118">
        <f>IF(AND(functie_8&lt;&gt;"",lambda&lt;&gt;""),lambda*m_schip,"")</f>
        <v/>
      </c>
      <c r="HD20" s="118">
        <f>IF(functie_8&lt;&gt;"",lambda_functie,"")</f>
        <v/>
      </c>
      <c r="HE20" s="118">
        <f>IF(functie_8&lt;&gt;"",ONB_missie,"")</f>
        <v/>
      </c>
      <c r="HF20" s="115">
        <f>IF(Lijst_componenten="","", IF(OR(HE20=0,HE20=""),HF19, IF(HF19="",HE20,1-(1-HE20)*(1-HF19))))</f>
        <v/>
      </c>
      <c r="HG20" s="118">
        <f>IF(functie_8&lt;&gt;"",ONB_aanvang,"")</f>
        <v/>
      </c>
      <c r="HH20" s="115">
        <f>IF(Lijst_componenten="","", IF(OR(HG20=0,HG20=""),HH19, IF(HH19="",HG20,1-(1-HG20)*(1-HH19))))</f>
        <v/>
      </c>
      <c r="HI20" s="107" t="n"/>
      <c r="HJ20" s="118">
        <f>IF(AND(functie_9&lt;&gt;"",lambda&lt;&gt;""),lambda*m_schip,"")</f>
        <v/>
      </c>
      <c r="HK20" s="118">
        <f>IF(functie_9&lt;&gt;"",lambda_functie,"")</f>
        <v/>
      </c>
      <c r="HL20" s="118">
        <f>IF(functie_9&lt;&gt;"",ONB_missie,"")</f>
        <v/>
      </c>
      <c r="HM20" s="115">
        <f>IF(Lijst_componenten="","", IF(OR(HL20=0,HL20=""),HM19, IF(HM19="",HL20,1-(1-HL20)*(1-HM19))))</f>
        <v/>
      </c>
      <c r="HN20" s="118">
        <f>IF(functie_9&lt;&gt;"",ONB_aanvang,"")</f>
        <v/>
      </c>
      <c r="HO20" s="115">
        <f>IF(Lijst_componenten="","", IF(OR(HN20=0,HN20=""),HO19, IF(HO19="",HN20,1-(1-HN20)*(1-HO19))))</f>
        <v/>
      </c>
      <c r="HP20" s="107" t="n"/>
      <c r="HQ20" s="118">
        <f>IF(AND(functie_10&lt;&gt;"",lambda&lt;&gt;""),lambda*m_schip,"")</f>
        <v/>
      </c>
      <c r="HR20" s="118">
        <f>IF(functie_10&lt;&gt;"",lambda_functie,"")</f>
        <v/>
      </c>
      <c r="HS20" s="118">
        <f>IF(functie_10&lt;&gt;"",ONB_missie,"")</f>
        <v/>
      </c>
      <c r="HT20" s="115">
        <f>IF(Lijst_componenten="","", IF(OR(HS20=0,HS20=""),HT19, IF(HT19="",HS20,1-(1-HS20)*(1-HT19))))</f>
        <v/>
      </c>
      <c r="HU20" s="118">
        <f>IF(functie_10&lt;&gt;"",ONB_aanvang,"")</f>
        <v/>
      </c>
      <c r="HV20" s="115">
        <f>IF(Lijst_componenten="","", IF(OR(HU20=0,HU20=""),HV19, IF(HV19="",HU20,1-(1-HU20)*(1-HV19))))</f>
        <v/>
      </c>
      <c r="HW20" s="353" t="n"/>
      <c r="HX20" s="113" t="n"/>
      <c r="HY20" s="353" t="n"/>
      <c r="HZ20" s="353" t="n"/>
      <c r="IA20" s="353" t="n"/>
      <c r="IB20" s="353" t="n"/>
      <c r="IC20" s="353" t="n"/>
      <c r="ID20" s="353" t="n"/>
      <c r="IE20" s="353" t="n"/>
      <c r="IF20" s="353" t="n"/>
      <c r="IG20" s="353" t="n"/>
      <c r="IH20" s="353" t="n"/>
      <c r="II20" s="353" t="n"/>
      <c r="IJ20" s="353" t="n"/>
      <c r="IK20" s="353" t="n"/>
      <c r="IL20" s="353" t="n"/>
      <c r="IM20" s="353" t="n"/>
      <c r="IN20" s="353" t="n"/>
      <c r="IO20" s="353" t="n"/>
      <c r="IP20" s="353" t="n"/>
      <c r="IQ20" s="353" t="n"/>
      <c r="IR20" s="353" t="n"/>
      <c r="IS20" s="353" t="n"/>
      <c r="IT20" s="353" t="n"/>
      <c r="IU20" s="353" t="n"/>
      <c r="IV20" s="353" t="n"/>
    </row>
    <row r="21" ht="12" customFormat="1" customHeight="1" s="353">
      <c r="A21" s="99" t="n">
        <v>4</v>
      </c>
      <c r="B21" s="649">
        <f>N(Invoer!B41)</f>
        <v/>
      </c>
      <c r="C21" s="649">
        <f>N(Invoer!C41)</f>
        <v/>
      </c>
      <c r="D21" s="649">
        <f>N(Invoer!D41)</f>
        <v/>
      </c>
      <c r="E21" s="649">
        <f>N(Invoer!E41)</f>
        <v/>
      </c>
      <c r="F21" s="649">
        <f>N(Invoer!F41)</f>
        <v/>
      </c>
      <c r="G21" s="649">
        <f>N(Invoer!G41)</f>
        <v/>
      </c>
      <c r="H21" s="649">
        <f>N(Invoer!H41)</f>
        <v/>
      </c>
      <c r="I21" s="649">
        <f>N(Invoer!I41)</f>
        <v/>
      </c>
      <c r="J21" s="649">
        <f>N(Invoer!J41)</f>
        <v/>
      </c>
      <c r="K21" s="649">
        <f>N(Invoer!K41)</f>
        <v/>
      </c>
      <c r="L21" s="58">
        <f>IF(Invoer!L41="","",Invoer!L41)</f>
        <v/>
      </c>
      <c r="M21" s="650">
        <f>N(Invoer!M41)</f>
        <v/>
      </c>
      <c r="N21" s="58">
        <f>IF(Invoer!N41="","",Invoer!N41)</f>
        <v/>
      </c>
      <c r="O21" s="119" t="n"/>
      <c r="P21" s="96">
        <f>IF(Invoer!BK41="","",Invoer!BK41)</f>
        <v/>
      </c>
      <c r="Q21" s="96">
        <f>IF(Invoer!BL41="","",Invoer!BL41)</f>
        <v/>
      </c>
      <c r="R21" s="96">
        <f>IF(Invoer!BM41="","",Invoer!BM41)</f>
        <v/>
      </c>
      <c r="S21" s="96">
        <f>IF(Invoer!BN41="","",Invoer!BN41)</f>
        <v/>
      </c>
      <c r="T21" s="96">
        <f>IF(Invoer!BO41="","",Invoer!BO41)</f>
        <v/>
      </c>
      <c r="U21" s="96">
        <f>IF(Invoer!BP41="","",Invoer!BP41)</f>
        <v/>
      </c>
      <c r="V21" s="60" t="n"/>
      <c r="W21" s="115">
        <f>IF(Invoer!BQ41="","",Invoer!BQ41)</f>
        <v/>
      </c>
      <c r="X21" s="115">
        <f>IF(Invoer!BR41="","",Invoer!BR41)</f>
        <v/>
      </c>
      <c r="Y21" s="60" t="n"/>
      <c r="Z21" s="115">
        <f>IF(Invoer!BS41="","",Invoer!BS41)</f>
        <v/>
      </c>
      <c r="AA21" s="115">
        <f>IF(Invoer!BT41="","",Invoer!BT41)</f>
        <v/>
      </c>
      <c r="AB21" s="115">
        <f>IF(Invoer!P41="","",Invoer!P41)</f>
        <v/>
      </c>
      <c r="AC21" s="60" t="n"/>
      <c r="AD21" s="34">
        <f>IF(Invoer!Q41="","",Invoer!Q41)</f>
        <v/>
      </c>
      <c r="AE21" s="110" t="n"/>
      <c r="AF21" s="96">
        <f>IF(Invoer!R41="","",Invoer!R41)</f>
        <v/>
      </c>
      <c r="AG21" s="107" t="n"/>
      <c r="AH21" s="107" t="n"/>
      <c r="AI21" s="658">
        <f>IF(N(Invoer!S41)=0,"",Invoer!S41)</f>
        <v/>
      </c>
      <c r="AJ21" s="659">
        <f>IF(Invoer!T41="","",Invoer!T41)</f>
        <v/>
      </c>
      <c r="AK21" s="365" t="n"/>
      <c r="AL21" s="659">
        <f>IF(Invoer!U41="","",Invoer!U41)</f>
        <v/>
      </c>
      <c r="AM21" s="659">
        <f>IF(Invoer!V41="","",Invoer!V41)</f>
        <v/>
      </c>
      <c r="AN21" s="659">
        <f>IF(Invoer!W41="","",Invoer!W41)</f>
        <v/>
      </c>
      <c r="AO21" s="368" t="n"/>
      <c r="AP21" s="660">
        <f>N(Invoer!X41)</f>
        <v/>
      </c>
      <c r="AQ21" s="660">
        <f>N(Invoer!Y41)</f>
        <v/>
      </c>
      <c r="AR21" s="660">
        <f>N(Invoer!Z41)</f>
        <v/>
      </c>
      <c r="AS21" s="660">
        <f>N(Invoer!AA41)</f>
        <v/>
      </c>
      <c r="AT21" s="660">
        <f>N(Invoer!AB41)</f>
        <v/>
      </c>
      <c r="AU21" s="660">
        <f>N(Invoer!AC41)</f>
        <v/>
      </c>
      <c r="AV21" s="368" t="n"/>
      <c r="AW21" s="661">
        <f>N(Invoer!AD41)</f>
        <v/>
      </c>
      <c r="AX21" s="368" t="n"/>
      <c r="AY21" s="541">
        <f>IF(Periodiciteit&lt;&gt;"",(uurtarief_wd*(IF(ISNUMBER(tijd_wd),tijd_wd,0))+uurtarief_td*(IF(ISNUMBER(tijd_td),tijd_td,0))+uurtarief_sb*(IF(ISNUMBER(tijd_sb),tijd_sb,0))+uurtarief_rw*(IF(ISNUMBER(tijd_rw),tijd_rw,0))+uurtarief_d*(IF(ISNUMBER(tijd_d),tijd_d,0))+uurtarief_3*(IF(ISNUMBER(tijd_3),tijd_3,0)) +(IF(ISNUMBER(f_vast),f_vast,0)))*(IF(Perio_int="j",1,IF(Perio_int="m",12,IF(Perio_int="w",52,IF(Perio_int="d",365,0)))))*Periodiciteit*aantal_componenten,"")</f>
        <v/>
      </c>
      <c r="AZ21" s="368" t="n"/>
      <c r="BA21" s="542">
        <f>IF(N(Invoer!AE41)=0,"",Invoer!AE41)</f>
        <v/>
      </c>
      <c r="BB21" s="368" t="n"/>
      <c r="BC21" s="542">
        <f>IF(AND(Periodiciteit&lt;&gt;"",Kosten_res_pk&lt;&gt;""), Kosten_res_pk*(IF(Perio_int="j",1,IF(Perio_int="m",12,IF(Perio_int="w",52,IF(Perio_int="d",365,0)))))*Periodiciteit*aantal_componenten,"")</f>
        <v/>
      </c>
      <c r="BD21" s="368" t="n"/>
      <c r="BE21" s="370" t="n"/>
      <c r="BF21" s="368" t="n"/>
      <c r="BG21" s="542">
        <f>IF(Kosten_res_trade &lt;&gt;"", Kosten_res_trade, Kosten_res_jaar )</f>
        <v/>
      </c>
      <c r="BH21" s="368" t="n"/>
      <c r="BI21" s="543">
        <f>IF(N(Invoer!AF41)=0,"",Invoer!AF41)</f>
        <v/>
      </c>
      <c r="BJ21" s="368" t="n"/>
      <c r="BK21" s="543">
        <f>IF(AND(Periodiciteit&lt;&gt;"",Gevolgkosten&lt;&gt;""), Gevolgkosten*(IF(Perio_int="j",1,IF(Perio_int="m",12,IF(Perio_int="w",52,IF(Perio_int="d",365,0)))))*Periodiciteit*aantal_componenten,"")</f>
        <v/>
      </c>
      <c r="BL21" s="368" t="n"/>
      <c r="BM21" s="660">
        <f>N(Invoer!AJ41)</f>
        <v/>
      </c>
      <c r="BN21" s="662">
        <f>N(Invoer!AK41)</f>
        <v/>
      </c>
      <c r="BO21" s="662">
        <f>N(Invoer!AL41)</f>
        <v/>
      </c>
      <c r="BP21" s="662">
        <f>N(Invoer!AM41)</f>
        <v/>
      </c>
      <c r="BQ21" s="368" t="n"/>
      <c r="BR21" s="662">
        <f>N(Invoer!AN41)</f>
        <v/>
      </c>
      <c r="BS21" s="543">
        <f>IF(N(Invoer!AO41)=0,"",Invoer!AO41)</f>
        <v/>
      </c>
      <c r="BT21" s="662">
        <f>N(Invoer!AP41)</f>
        <v/>
      </c>
      <c r="BU21" s="368" t="n"/>
      <c r="BV21" s="662">
        <f>N(Invoer!AQ41)</f>
        <v/>
      </c>
      <c r="BW21" s="663">
        <f>N(Invoer!AR41)</f>
        <v/>
      </c>
      <c r="BX21" s="480" t="n"/>
      <c r="BY21" s="477" t="n"/>
      <c r="BZ21" s="107" t="n"/>
      <c r="CA21" s="64">
        <f>IF(N(Invoer!AG41)=0,"",Invoer!AG41)</f>
        <v/>
      </c>
      <c r="CB21" s="657">
        <f>N(Invoer!AH41)</f>
        <v/>
      </c>
      <c r="CC21" s="657">
        <f>N(Invoer!AI41)</f>
        <v/>
      </c>
      <c r="CD21" s="64">
        <f>IF( OR(CO_rep&lt;&gt;"",CO_verv&lt;&gt;""),IF(lambda_fabrikant&lt;&gt;"",IF(Uitvoeren_missie="N", (1-EXP(-aantal_componenten*lambda_fabrikant*Missieduur*p_gebruik_missie))/Missieduur/aantal_componenten,
IF(doorlooptijd_missie_i &lt;&gt; 0,((aantal_componenten*lambda_fabrikant*(1/doorlooptijd_missie_i)/(aantal_componenten*lambda_fabrikant+1/doorlooptijd_missie_i))*Missieduur*p_gebruik_missie+(aantal_componenten*lambda_fabrikant)^2/(aantal_componenten*lambda_fabrikant+1/doorlooptijd_missie_i)^2*(1-EXP(-(aantal_componenten*lambda_fabrikant+1/doorlooptijd_missie_i)*Missieduur*p_gebruik_missie)))/Missieduur/aantal_componenten,lambda_fabrikant*p_gebruik_missie)),""),"")</f>
        <v/>
      </c>
      <c r="CE21" s="64">
        <f>IF( OR(CO_rep&lt;&gt;"",CO_verv&lt;&gt;""),IF(lambda_fabrikant&lt;&gt;"",IF(uitvoeren_GO = "J", (1-EXP(-(aantal_componenten*lambda_fabrikant*p_gebruik_wal* interval_groot_onderhoud/8760*Missies_per_jaar*walduur)))/ (interval_groot_onderhoud/8760*Missies_per_jaar*walduur) / aantal_componenten,IF(doorlooptijd_wal_i &lt;&gt; 0,((aantal_componenten*lambda_fabrikant*(1/doorlooptijd_wal_i)/(aantal_componenten*lambda_fabrikant+1/doorlooptijd_wal_i))*walduur*p_gebruik_wal+(aantal_componenten*lambda_fabrikant)^2/(aantal_componenten*lambda_fabrikant+1/doorlooptijd_wal_i)^2*(1-EXP(-(aantal_componenten*lambda_fabrikant+1/doorlooptijd_wal_i)*walduur*p_gebruik_wal)))/walduur/aantal_componenten,lambda_fabrikant*p_gebruik_wal)),""),"")</f>
        <v/>
      </c>
      <c r="CF21" s="64">
        <f>IF( OR(CO_rep&lt;&gt;"",CO_verv&lt;&gt;""),
IF(OR(lambda_missie_g&lt;&gt;"",lambda_wal_g&lt;&gt;""), "", IF(Perio_int="j",1/8760, IF(Perio_int="m",12/8760, IF(Perio_int="w",52/8760, IF(Perio_int="d",365/8760,"error") ) ) )*Periodiciteit),"")</f>
        <v/>
      </c>
      <c r="CG21" s="66">
        <f>IF(OR(CO_rep&lt;&gt;"",CO_verv&lt;&gt;""),1,"")</f>
        <v/>
      </c>
      <c r="CH21" s="64">
        <f>IF( OR(CO_rep&lt;&gt;"",CO_verv&lt;&gt;""),IF(lambda_fabrikant="",lambda_kalendertijd*missiepercentage*8760/(Missies_per_jaar*Missieduur),""),"")</f>
        <v/>
      </c>
      <c r="CI21" s="64">
        <f>IF( OR(CO_rep&lt;&gt;"",CO_verv&lt;&gt;""),IF(lambda_fabrikant="",lambda_kalendertijd*(1-missiepercentage)*8760/(Missies_per_jaar*walduur),""),"")</f>
        <v/>
      </c>
      <c r="CJ21" s="64">
        <f>IF( OR(CO_rep&lt;&gt;"",CO_verv&lt;&gt;""),
IF(OR(lambda_missie_g&lt;&gt;"",lambda_wal_g&lt;&gt;""), (lambda_missie_g*Missieduur + lambda_wal_g*walduur)/8760*Missies_per_jaar, lambda_kalendertijd),"")</f>
        <v/>
      </c>
      <c r="CK21" s="64">
        <f>IF(lambda&lt;&gt;"",m_schip*lambda,"")</f>
        <v/>
      </c>
      <c r="CL21" s="65">
        <f>IF(OR(CO_rep&lt;&gt;"",CO_verv&lt;&gt;""),IF(Redundantie = "J","?",1),"")</f>
        <v/>
      </c>
      <c r="CM21" s="64">
        <f>IF(lambda&lt;&gt;"",IF(Redundantie="J",IF(lambda_missie_g&lt;&gt;"",lambda_missie_g*redundantie_factor,lambda_missie*redundantie_factor),IF(lambda_missie_g&lt;&gt;"",lambda_missie_g*m_schip,lambda_missie*m_schip)),"")</f>
        <v/>
      </c>
      <c r="CN21" s="64">
        <f>IF(lambda&lt;&gt;"",lambda_functie*Missieduur*Missies_per_jaar/8760,"")</f>
        <v/>
      </c>
      <c r="CO21" s="64">
        <f>IF(lambda&lt;&gt;"",IF(Redundantie="J",IF(lambda_wal_g&lt;&gt;"",lambda_wal_g*redundantie_factor,lambda_wal*redundantie_factor),IF(lambda_wal_g&lt;&gt;"",lambda_wal_g*m_schip,lambda_wal*m_schip)),"")</f>
        <v/>
      </c>
      <c r="CP21" s="64">
        <f>IF(lambda&lt;&gt;"",lambda_functie_wal*walduur*Missies_per_jaar/8760,"")</f>
        <v/>
      </c>
      <c r="CQ21" s="107" t="n"/>
      <c r="CR21" s="115">
        <f>IF(OR(CO_verv&lt;&gt;"",CO_rep&lt;&gt;""),aantal_componenten,"")</f>
        <v/>
      </c>
      <c r="CS21" s="66">
        <f>IF( OR(CO_rep&lt;&gt;"",CO_verv&lt;&gt;""),IF(Aantal_res_boord=0,1,IF(lambda_missie_g&lt;&gt;"",1-POISSON(Aantal_res_boord-1,m_schip*lambda_missie_g*Missieduur,TRUE),1-POISSON(Aantal_res_boord-1,m_schip*lambda_missie*Missieduur,TRUE))),"")</f>
        <v/>
      </c>
      <c r="CT21" s="107" t="n"/>
      <c r="CU21" s="115">
        <f>IF(OR(CO_verv&lt;&gt;"",CO_rep&lt;&gt;""),Aantal_fregatten * m_schip,"")</f>
        <v/>
      </c>
      <c r="CV21" s="65">
        <f>IF(AND(lambda&gt;0,Aantal_ini_wal&gt;=0,Aantal_res_wal&lt;&gt;""),IF(Aantal_ini_wal&gt;Aantal_res_wal,(Aantal_ini_wal-Aantal_res_wal)/(m_vloot*lambda*8760),0),"")</f>
        <v/>
      </c>
      <c r="CW21" s="65">
        <f>IF(AND(lambda&gt;0,Aantal_max_wal&gt;=0,Aantal_res_wal&lt;&gt;""),IF(Aantal_max_wal&gt;Aantal_res_wal,(Aantal_max_wal-Aantal_res_wal)/(m_vloot*lambda*8760),0),"")</f>
        <v/>
      </c>
      <c r="CX21" s="68">
        <f>IF(AND(ini_periode&lt;&gt;"",bestel_interval&lt;&gt;"",besteltijd&lt;&gt;""),IF(ini_periode&gt;=Looptijd,0,
IF(bestel_interval&gt;=(Looptijd-ini_periode),IF(besteltijd&lt;(Looptijd-ini_periode),besteltijd/8760/Looptijd,(Looptijd-ini_periode)/Looptijd),
IF(((Looptijd-ini_periode)-(INT((Looptijd-ini_periode)/(besteltijd/8760+bestel_interval))))&gt;=besteltijd/8760,(1+INT((Looptijd-ini_periode)/(besteltijd/8760+bestel_interval)))*(besteltijd/8760)/Looptijd,(INT((Looptijd-ini_periode)/(besteltijd/8760+bestel_interval))*(besteltijd/8760)+((Looptijd-ini_periode)-(INT((Looptijd-ini_periode)/(besteltijd/8760+bestel_interval)))*(besteltijd/8760+bestel_interval)))/Looptijd))),"")</f>
        <v/>
      </c>
      <c r="CY21" s="66">
        <f>IF( OR(CO_rep&lt;&gt;"",CO_verv&lt;&gt;""),
IF( Aantal_res_wal+(Aantal_fregatten-1)*Aantal_res_boord=0, 1*IF(percentage_looptijd_inbestelling&lt;&gt;"",percentage_looptijd_inbestelling,1),
(1-POISSON(Aantal_res_wal-1+(Aantal_fregatten-1)*Aantal_res_boord, m_vloot*lambda*besteltijd,TRUE))*IF(percentage_looptijd_inbestelling&lt;&gt;"",percentage_looptijd_inbestelling,1)),"")</f>
        <v/>
      </c>
      <c r="CZ21" s="66">
        <f>IF( OR(CO_rep&lt;&gt;"",CO_verv&lt;&gt;""),IF( Aantal_res_wal=0,1, 1-POISSON(Aantal_res_boord+Aantal_res_wal-1, m_vloot*lambda*besteltijd,TRUE) ),"")</f>
        <v/>
      </c>
      <c r="DA21" s="107" t="n"/>
      <c r="DB21" s="115">
        <f>IF(OR(Uitvoeren_missie&lt;&gt;"J",uitvoeren_bedrijf="J",uitvoeren_GO="J"), "",
IF(TAO_revisie&lt;&gt;"", TAO_rev_verv_tijd,
IF(TAO_vervanging&lt;&gt;"", TAO_rev_verv_tijd,
IF(PO_doorlooptijd&lt;&gt;0, PO_doorlooptijd,"" ))))</f>
        <v/>
      </c>
      <c r="DC21" s="107" t="n"/>
      <c r="DD21" s="115">
        <f>IF(AND(CO_rep&lt;&gt;"", Uitvoeren_missie="N"), Missieduur,
IF(AND(CO_rep&lt;&gt;"", Uitvoeren_missie="J"), CO_zoektijd + CO_rep_verv_tijd,""))</f>
        <v/>
      </c>
      <c r="DE21" s="115">
        <f>IF(AND(CO_verv&lt;&gt;"", Uitvoeren_missie="N"), Missieduur,
IF(AND(CO_verv&lt;&gt;"", Uitvoeren_missie="J"), CO_zoektijd + CO_rep_verv_tijd,""))</f>
        <v/>
      </c>
      <c r="DF21" s="115">
        <f>IF(AND(CO_verv&lt;&gt;"", Uitvoeren_missie="N"), Missieduur,
IF(AND(CO_verv&lt;&gt;"", Uitvoeren_missie="J"), wachttijd_invlieg+CO_zoektijd + CO_rep_verv_tijd,""))</f>
        <v/>
      </c>
      <c r="DG21" s="115">
        <f>IF(AND(CO_verv&lt;&gt;"", Uitvoeren_missie="N"), Missieduur,
IF(AND(CO_verv&lt;&gt;"", Uitvoeren_missie="J"), besteltijd + wachttijd_invlieg + CO_zoektijd + CO_rep_verv_tijd,""))</f>
        <v/>
      </c>
      <c r="DH21" s="115">
        <f> IF(AND(doorlooptijd_missie_met&lt;&gt;"",CO_verv&lt;&gt;""), P_op_boord* ( P_op_vloot*doorlooptijd_missie_zonder + (1-P_op_vloot)*doorlooptijd_invlieg ) + (1-P_op_boord)* doorlooptijd_missie_met, "")</f>
        <v/>
      </c>
      <c r="DI21" s="115">
        <f>IF(CO_rep&lt;&gt;"",doorlooptijd_missie_rep,IF(AND(CO_verv&lt;&gt;"",Aantal_res_boord&lt;&gt;"",Aantal_res_boord&lt;&gt;0),doorlooptijd_missie_met,IF(AND(CO_verv&lt;&gt;"",Aantal_max_wal&lt;&gt;"",Aantal_max_wal&lt;&gt;0),doorlooptijd_invlieg,doorlooptijd_missie_zonder)))</f>
        <v/>
      </c>
      <c r="DJ21" s="115">
        <f>IF(doorlooptijd_missie_verv&lt;&gt;"", doorlooptijd_missie_verv, IF(doorlooptijd_missie_rep&lt;&gt;"", doorlooptijd_missie_rep,""))</f>
        <v/>
      </c>
      <c r="DK21" s="107" t="n"/>
      <c r="DL21" s="115">
        <f> IF(CO_rep&lt;&gt;"", CO_zoektijd + CO_rep_verv_tijd,"")</f>
        <v/>
      </c>
      <c r="DM21" s="115">
        <f> IF(AND(CO_verv&lt;&gt;"",CO_rep=""), wachttijd_wal+CO_zoektijd + CO_rep_verv_tijd,"")</f>
        <v/>
      </c>
      <c r="DN21" s="115">
        <f> IF(AND(CO_verv&lt;&gt;"",CO_rep=""), wachttijd_invlieg+CO_zoektijd + CO_rep_verv_tijd,"")</f>
        <v/>
      </c>
      <c r="DO21" s="115">
        <f>IF(AND(CO_verv&lt;&gt;"",CO_rep=""), besteltijd + wachttijd_wal + CO_zoektijd + CO_rep_verv_tijd,"")</f>
        <v/>
      </c>
      <c r="DP21" s="69">
        <f> IF(AND(doorlooptijd_van_wal&lt;&gt;"",CO_verv&lt;&gt;""), P_op_vloot*doorlooptijd_wal_zonder +
(1-P_op_vloot)*(P_op_wal*Doorlooptijd_transport+ (1-P_op_wal)*doorlooptijd_van_wal ), "")</f>
        <v/>
      </c>
      <c r="DQ21" s="115">
        <f>IF(CO_rep&lt;&gt;"",doorlooptijd_wal_rep,IF(AND(CO_verv&lt;&gt;"",AND(Aantal_res_boord&lt;&gt;"",Aantal_res_boord&lt;&gt;0)),doorlooptijd_van_wal,IF(AND(CO_verv&lt;&gt;"",AND(Aantal_max_wal&lt;&gt;"",Aantal_max_wal&lt;&gt;0)),Doorlooptijd_transport,doorlooptijd_wal_zonder)))</f>
        <v/>
      </c>
      <c r="DR21" s="115">
        <f>IF(doorlooptijd_wal_verv&lt;&gt;"", doorlooptijd_wal_verv, IF(doorlooptijd_wal_rep&lt;&gt;"", doorlooptijd_wal_rep,""))</f>
        <v/>
      </c>
      <c r="DS21" s="107" t="n"/>
      <c r="DT21" s="64">
        <f>IF(OR(CO_verv&lt;&gt;"",CO_rep&lt;&gt;""),IF(lambda_functie&lt;&gt;"",ONB_missie_tussenberekening_1 + ONB_missie_tussenberekening_2,""),"")</f>
        <v/>
      </c>
      <c r="DU21" s="64">
        <f>IF(OR(CO_rep&lt;&gt;"",CO_verv&lt;&gt;""),IF(lambda_functie&lt;&gt;"",IF(Uitvoeren_missie="N",1-(1-EXP(-lambda_functie*Missieduur))/(lambda_functie*Missieduur),IF(CO_verv&lt;&gt;"",
(1-P_op_boord)*IF(doorlooptijd_missie_met&lt;&gt;0,lambda_functie/(lambda_functie+(1/doorlooptijd_missie_met))-lambda_functie/((lambda_functie+(1/doorlooptijd_missie_met))^2*Missieduur)*(1-EXP(-(lambda_functie+(1/doorlooptijd_missie_met))*Missieduur)),0)+P_op_boord*((1-P_op_vloot)*IF(doorlooptijd_invlieg&lt;&gt;0,lambda_functie/(lambda_functie+(1 /doorlooptijd_invlieg))-lambda_functie/((lambda_functie+(1/doorlooptijd_invlieg))^2*Missieduur)*(1-EXP(-(lambda_functie+(1/doorlooptijd_invlieg))*Missieduur)),0)+P_op_vloot*IF(doorlooptijd_missie_zonder&lt;&gt;0,lambda_functie/(lambda_functie+(1/doorlooptijd_missie_zonder))-lambda_functie/((lambda_functie+(1/doorlooptijd_missie_zonder))^2*Missieduur)*(1-EXP(-(lambda_functie+(1/doorlooptijd_missie_zonder))*Missieduur)),0)),0)),0),"")</f>
        <v/>
      </c>
      <c r="DV21" s="64">
        <f>IF(OR(CO_rep&lt;&gt;"",CO_verv&lt;&gt;""),IF(lambda_functie&lt;&gt;"",IF(CO_rep&lt;&gt;"",
IF(doorlooptijd_missie_rep&lt;&gt;0,lambda_functie/(lambda_functie+(1/doorlooptijd_missie_rep))-lambda_functie/((lambda_functie+(1/doorlooptijd_missie_rep))^2*Missieduur)*(1-EXP(-(lambda_functie+(1/doorlooptijd_missie_rep))*Missieduur)),0),0)),"")</f>
        <v/>
      </c>
      <c r="DW21" s="66">
        <f>IF(ONB_missie="","",IF(tot_ONB_missie&lt;&gt;0,ONB_missie/tot_ONB_missie,0))</f>
        <v/>
      </c>
      <c r="DX21" s="115">
        <f>IF(Lijst_componenten="","", IF(OR(DT21=0,DT21=""),DX20, IF(DX20="",DT21,1-(1-DT21)*(1-DX20))))</f>
        <v/>
      </c>
      <c r="DY21" s="107" t="n"/>
      <c r="DZ21" s="96">
        <f>IF(OR(CO_rep&lt;&gt;"",CO_verv&lt;&gt;""),IF(uitvoeren_GO="J",ONB_tussenberekening_1,IF(CO_rep&lt;&gt;"",ONB_tussenberekening_2,ONB_tussenberekening_3+ONB_tussenberekening_4+ONB_tussenberekening_5)),"")</f>
        <v/>
      </c>
      <c r="EA21" s="96">
        <f>IF(OR(CO_rep&lt;&gt;"",CO_verv&lt;&gt;""),IF(AND(OR(lambda_functie_kalendertijd&lt;&gt;"",lambda_functie_wal_kalendertijd&lt;&gt;""),uitvoeren_GO="J"),
1-(1-EXP(-(lambda_functie_kalendertijd+lambda_functie_wal_kalendertijd)*interval_groot_onderhoud))
/((lambda_functie_kalendertijd+lambda_functie_wal_kalendertijd)*interval_groot_onderhoud),0),"")</f>
        <v/>
      </c>
      <c r="EB21" s="96">
        <f>IF(OR(CO_rep&lt;&gt;"",CO_verv&lt;&gt;""),IF(AND(CO_rep &lt;&gt;"",OR(doorlooptijd_missie_rep&gt;=walduur,doorlooptijd_wal_rep &gt;= walduur)),IF(doorlooptijd_missie_rep &gt;= walduur,lambda_functie_kalendertijd / (lambda_functie_kalendertijd + 1/doorlooptijd_missie_rep),0)
+ IF(doorlooptijd_wal_rep &gt;= walduur,lambda_functie_wal_kalendertijd / (lambda_functie_wal_kalendertijd + 1/doorlooptijd_wal_rep),0),IF(CO_rep &lt;&gt; "",(1 -EXP(-(lambda_functie_wal_kalendertijd + 1 / doorlooptijd_wal_rep)*walduur))
* lambda_functie_wal_kalendertijd / (lambda_functie_wal_kalendertijd + 1/ doorlooptijd_wal_rep),0)),"")</f>
        <v/>
      </c>
      <c r="EC21" s="96">
        <f>IF(OR(CO_rep&lt;&gt;"",CO_verv&lt;&gt;""),IF(CO_verv&lt;&gt;"",
P_op_boord* ( P_op_vloot*IF(doorlooptijd_missie_zonder&gt;=walduur, lambda_functie_kalendertijd / (lambda_functie_kalendertijd + 1/doorlooptijd_missie_zonder),0)+ (1- P_op_vloot)*IF(doorlooptijd_invlieg&gt;=walduur, lambda_functie_kalendertijd / (lambda_functie_kalendertijd + 1 /doorlooptijd_invlieg),0) )
+ (1- P_op_boord) * IF(doorlooptijd_missie_met&gt;=walduur,lambda_functie_kalendertijd / (lambda_functie_kalendertijd + 1 / doorlooptijd_missie_met),0),0),"")</f>
        <v/>
      </c>
      <c r="ED21" s="96">
        <f>IF(OR(CO_rep&lt;&gt;"",CO_verv&lt;&gt;""),IF(CO_verv &lt;&gt;"",
(1-P_op_vloot)*((1 - P_op_wal)*IF(doorlooptijd_van_wal&gt;=walduur,lambda_functie_wal_kalendertijd/(lambda_functie_wal_kalendertijd+ 1/ doorlooptijd_van_wal),0)
+ P_op_wal*IF(Doorlooptijd_transport&gt;=walduur,lambda_functie_wal_kalendertijd / (lambda_functie_wal_kalendertijd +1/Doorlooptijd_transport),0) )+ P_op_vloot*IF(doorlooptijd_wal_zonder&gt;=walduur, lambda_functie_wal_kalendertijd / (lambda_functie_wal_kalendertijd + 1/ doorlooptijd_wal_zonder),0),0),"")</f>
        <v/>
      </c>
      <c r="EE21" s="96">
        <f>IF(OR(CO_rep&lt;&gt;"",CO_verv&lt;&gt;""),IF(CO_verv &lt;&gt;"",
(1-P_op_vloot)* ( (1- P_op_wal)* (IF(AND(doorlooptijd_van_wal&lt;&gt;0,doorlooptijd_van_wal&lt;walduur),(1 -EXP(-(lambda_functie_wal_kalendertijd + 1 / doorlooptijd_van_wal)*walduur))
* lambda_functie_wal_kalendertijd / (lambda_functie_wal_kalendertijd + 1/ doorlooptijd_van_wal),0))
+ P_op_wal*(IF(AND(Doorlooptijd_transport&lt;&gt;0,Doorlooptijd_transport&lt;walduur),(1 -EXP(-(lambda_functie_wal_kalendertijd + 1 / Doorlooptijd_transport)*walduur))
* lambda_functie_wal_kalendertijd /(lambda_functie_wal_kalendertijd + 1/ Doorlooptijd_transport),0)))
+ P_op_vloot*(IF(AND(doorlooptijd_wal_zonder&lt;&gt;0,doorlooptijd_wal_zonder&lt;walduur),(1 -EXP(-(lambda_functie_wal_kalendertijd + 1 / doorlooptijd_wal_zonder)*walduur))
* lambda_functie_wal_kalendertijd / (lambda_functie_wal_kalendertijd + 1/ doorlooptijd_wal_zonder),0)),0),"")</f>
        <v/>
      </c>
      <c r="EF21" s="66">
        <f>IF(ONB_aanvang="","",IF(tot_ONB_aanvang&lt;&gt;0,ONB_aanvang/tot_ONB_aanvang,0))</f>
        <v/>
      </c>
      <c r="EG21" s="115">
        <f>IF(Lijst_componenten="","", IF(OR(DZ21=0,DZ21=""),EG20, IF(EG20="",DZ21,1-(1-DZ21)*(1-EG20))))</f>
        <v/>
      </c>
      <c r="EH21" s="107" t="n"/>
      <c r="EI21" s="40">
        <f>IF(Invoer!BE41="","",Invoer!BE41)</f>
        <v/>
      </c>
      <c r="EJ21" s="71" t="n"/>
      <c r="EK21" s="120" t="n"/>
      <c r="EL21" s="119" t="n"/>
      <c r="EM21" s="107" t="n"/>
      <c r="EN21" s="72" t="n"/>
      <c r="EO21" s="107" t="n"/>
      <c r="EP21" s="107" t="n"/>
      <c r="EQ21" s="119" t="n"/>
      <c r="ER21" s="120" t="n"/>
      <c r="ES21" s="119" t="n"/>
      <c r="ET21" s="119" t="n"/>
      <c r="EU21" s="115">
        <f>IF(Invoer!AS41="","",Invoer!AS41)</f>
        <v/>
      </c>
      <c r="EV21" s="115">
        <f>IF(Invoer!AT41="","",Invoer!AT41)</f>
        <v/>
      </c>
      <c r="EW21" s="115">
        <f>IF(Invoer!AU41="","",Invoer!AU41)</f>
        <v/>
      </c>
      <c r="EX21" s="115">
        <f>IF(Invoer!AV41="","",Invoer!AV41)</f>
        <v/>
      </c>
      <c r="EY21" s="115">
        <f>IF(Invoer!AW41="","",Invoer!AW41)</f>
        <v/>
      </c>
      <c r="EZ21" s="115">
        <f>IF(Invoer!AX41="","",Invoer!AX41)</f>
        <v/>
      </c>
      <c r="FA21" s="115">
        <f>IF(Invoer!AY41="","",Invoer!AY41)</f>
        <v/>
      </c>
      <c r="FB21" s="115">
        <f>IF(Invoer!AZ41="","",Invoer!AZ41)</f>
        <v/>
      </c>
      <c r="FC21" s="115">
        <f>IF(Invoer!BA41="","",Invoer!BA41)</f>
        <v/>
      </c>
      <c r="FD21" s="115">
        <f>IF(Invoer!BB41="","",Invoer!BB41)</f>
        <v/>
      </c>
      <c r="FE21" s="348" t="n"/>
      <c r="FF21" s="118">
        <f>IF(AND(functie_1&lt;&gt;"",lambda&lt;&gt;""),lambda*m_schip,"")</f>
        <v/>
      </c>
      <c r="FG21" s="118">
        <f>IF(functie_1&lt;&gt;"",lambda_functie,"")</f>
        <v/>
      </c>
      <c r="FH21" s="118">
        <f>IF(functie_1&lt;&gt;"",ONB_missie,"")</f>
        <v/>
      </c>
      <c r="FI21" s="115">
        <f>IF(Lijst_componenten="","", IF(OR(FH21=0,FH21=""),FI20, IF(FI20="",FH21,1-(1-FH21)*(1-FI20))))</f>
        <v/>
      </c>
      <c r="FJ21" s="118">
        <f>IF(functie_1&lt;&gt;"",ONB_aanvang,"")</f>
        <v/>
      </c>
      <c r="FK21" s="115">
        <f>IF(Lijst_componenten="","", IF(OR(FJ21=0,FJ21=""),FK20, IF(FK20="",FJ21,1-(1-FJ21)*(1-FK20))))</f>
        <v/>
      </c>
      <c r="FL21" s="107" t="n"/>
      <c r="FM21" s="118">
        <f>IF(AND(functie_2&lt;&gt;"",lambda&lt;&gt;""),lambda*m_schip,"")</f>
        <v/>
      </c>
      <c r="FN21" s="118">
        <f>IF(functie_2&lt;&gt;"",lambda_functie,"")</f>
        <v/>
      </c>
      <c r="FO21" s="118">
        <f>IF(functie_2&lt;&gt;"",ONB_missie,"")</f>
        <v/>
      </c>
      <c r="FP21" s="115">
        <f>IF(Lijst_componenten="","", IF(OR(FO21=0,FO21=""),FP20, IF(FP20="",FO21,1-(1-FO21)*(1-FP20))))</f>
        <v/>
      </c>
      <c r="FQ21" s="118">
        <f>IF(functie_2&lt;&gt;"",ONB_aanvang,"")</f>
        <v/>
      </c>
      <c r="FR21" s="115">
        <f>IF(Lijst_componenten="","", IF(OR(FQ21=0,FQ21=""),FR20, IF(FR20="",FQ21,1-(1-FQ21)*(1-FR20))))</f>
        <v/>
      </c>
      <c r="FS21" s="107" t="n"/>
      <c r="FT21" s="118">
        <f>IF(AND(functie_3&lt;&gt;"",lambda&lt;&gt;""),lambda*m_schip,"")</f>
        <v/>
      </c>
      <c r="FU21" s="118">
        <f>IF(functie_3&lt;&gt;"",lambda_functie,"")</f>
        <v/>
      </c>
      <c r="FV21" s="118">
        <f>IF(functie_3&lt;&gt;"",ONB_missie,"")</f>
        <v/>
      </c>
      <c r="FW21" s="115">
        <f>IF(Lijst_componenten="","", IF(OR(FV21=0,FV21=""),FW20, IF(FW20="",FV21,1-(1-FV21)*(1-FW20))))</f>
        <v/>
      </c>
      <c r="FX21" s="118">
        <f>IF(functie_3&lt;&gt;"",ONB_aanvang,"")</f>
        <v/>
      </c>
      <c r="FY21" s="115">
        <f>IF(Lijst_componenten="","", IF(OR(FX21=0,FX21=""),FY20, IF(FY20="",FX21,1-(1-FX21)*(1-FY20))))</f>
        <v/>
      </c>
      <c r="FZ21" s="107" t="n"/>
      <c r="GA21" s="118">
        <f>IF(AND(functie_4&lt;&gt;"",lambda&lt;&gt;""),lambda*m_schip,"")</f>
        <v/>
      </c>
      <c r="GB21" s="118">
        <f>IF(functie_4&lt;&gt;"",lambda_functie,"")</f>
        <v/>
      </c>
      <c r="GC21" s="118">
        <f>IF(functie_4&lt;&gt;"",ONB_missie,"")</f>
        <v/>
      </c>
      <c r="GD21" s="115">
        <f>IF(Lijst_componenten="","", IF(OR(GC21=0,GC21=""),GD20, IF(GD20="",GC21,1-(1-GC21)*(1-GD20))))</f>
        <v/>
      </c>
      <c r="GE21" s="118">
        <f>IF(functie_4&lt;&gt;"",ONB_aanvang,"")</f>
        <v/>
      </c>
      <c r="GF21" s="115">
        <f>IF(Lijst_componenten="","", IF(OR(GE21=0,GE21=""),GF20, IF(GF20="",GE21,1-(1-GE21)*(1-GF20))))</f>
        <v/>
      </c>
      <c r="GG21" s="107" t="n"/>
      <c r="GH21" s="118">
        <f>IF(AND(functie_5&lt;&gt;"",lambda&lt;&gt;""),lambda*m_schip,"")</f>
        <v/>
      </c>
      <c r="GI21" s="118">
        <f>IF(functie_5&lt;&gt;"",lambda_functie,"")</f>
        <v/>
      </c>
      <c r="GJ21" s="118">
        <f>IF(functie_5&lt;&gt;"",ONB_missie,"")</f>
        <v/>
      </c>
      <c r="GK21" s="115">
        <f>IF(Lijst_componenten="","", IF(OR(GJ21=0,GJ21=""),GK20, IF(GK20="",GJ21,1-(1-GJ21)*(1-GK20))))</f>
        <v/>
      </c>
      <c r="GL21" s="118">
        <f>IF(functie_5&lt;&gt;"",ONB_aanvang,"")</f>
        <v/>
      </c>
      <c r="GM21" s="115">
        <f>IF(Lijst_componenten="","", IF(OR(GL21=0,GL21=""),GM20, IF(GM20="",GL21,1-(1-GL21)*(1-GM20))))</f>
        <v/>
      </c>
      <c r="GN21" s="107" t="n"/>
      <c r="GO21" s="118">
        <f>IF(AND(functie_6&lt;&gt;"",lambda&lt;&gt;""),lambda*m_schip,"")</f>
        <v/>
      </c>
      <c r="GP21" s="118">
        <f>IF(functie_6&lt;&gt;"",lambda_functie,"")</f>
        <v/>
      </c>
      <c r="GQ21" s="118">
        <f>IF(functie_6&lt;&gt;"",ONB_missie,"")</f>
        <v/>
      </c>
      <c r="GR21" s="115">
        <f>IF(Lijst_componenten="","", IF(OR(GQ21=0,GQ21=""),GR20, IF(GR20="",GQ21,1-(1-GQ21)*(1-GR20))))</f>
        <v/>
      </c>
      <c r="GS21" s="118">
        <f>IF(functie_6&lt;&gt;"",ONB_aanvang,"")</f>
        <v/>
      </c>
      <c r="GT21" s="115">
        <f>IF(Lijst_componenten="","", IF(OR(GS21=0,GS21=""),GT20, IF(GT20="",GS21,1-(1-GS21)*(1-GT20))))</f>
        <v/>
      </c>
      <c r="GU21" s="107" t="n"/>
      <c r="GV21" s="118">
        <f>IF(AND(functie_7&lt;&gt;"",lambda&lt;&gt;""),lambda*m_schip,"")</f>
        <v/>
      </c>
      <c r="GW21" s="118">
        <f>IF(functie_7&lt;&gt;"",lambda_functie,"")</f>
        <v/>
      </c>
      <c r="GX21" s="118">
        <f>IF(functie_7&lt;&gt;"",ONB_missie,"")</f>
        <v/>
      </c>
      <c r="GY21" s="115">
        <f>IF(Lijst_componenten="","", IF(OR(GX21=0,GX21=""),GY20, IF(GY20="",GX21,1-(1-GX21)*(1-GY20))))</f>
        <v/>
      </c>
      <c r="GZ21" s="118">
        <f>IF(functie_7&lt;&gt;"",ONB_aanvang,"")</f>
        <v/>
      </c>
      <c r="HA21" s="115">
        <f>IF(Lijst_componenten="","", IF(OR(GZ21=0,GZ21=""),HA20, IF(HA20="",GZ21,1-(1-GZ21)*(1-HA20))))</f>
        <v/>
      </c>
      <c r="HB21" s="107" t="n"/>
      <c r="HC21" s="118">
        <f>IF(AND(functie_8&lt;&gt;"",lambda&lt;&gt;""),lambda*m_schip,"")</f>
        <v/>
      </c>
      <c r="HD21" s="118">
        <f>IF(functie_8&lt;&gt;"",lambda_functie,"")</f>
        <v/>
      </c>
      <c r="HE21" s="118">
        <f>IF(functie_8&lt;&gt;"",ONB_missie,"")</f>
        <v/>
      </c>
      <c r="HF21" s="115">
        <f>IF(Lijst_componenten="","", IF(OR(HE21=0,HE21=""),HF20, IF(HF20="",HE21,1-(1-HE21)*(1-HF20))))</f>
        <v/>
      </c>
      <c r="HG21" s="118">
        <f>IF(functie_8&lt;&gt;"",ONB_aanvang,"")</f>
        <v/>
      </c>
      <c r="HH21" s="115">
        <f>IF(Lijst_componenten="","", IF(OR(HG21=0,HG21=""),HH20, IF(HH20="",HG21,1-(1-HG21)*(1-HH20))))</f>
        <v/>
      </c>
      <c r="HI21" s="107" t="n"/>
      <c r="HJ21" s="118">
        <f>IF(AND(functie_9&lt;&gt;"",lambda&lt;&gt;""),lambda*m_schip,"")</f>
        <v/>
      </c>
      <c r="HK21" s="118">
        <f>IF(functie_9&lt;&gt;"",lambda_functie,"")</f>
        <v/>
      </c>
      <c r="HL21" s="118">
        <f>IF(functie_9&lt;&gt;"",ONB_missie,"")</f>
        <v/>
      </c>
      <c r="HM21" s="115">
        <f>IF(Lijst_componenten="","", IF(OR(HL21=0,HL21=""),HM20, IF(HM20="",HL21,1-(1-HL21)*(1-HM20))))</f>
        <v/>
      </c>
      <c r="HN21" s="118">
        <f>IF(functie_9&lt;&gt;"",ONB_aanvang,"")</f>
        <v/>
      </c>
      <c r="HO21" s="115">
        <f>IF(Lijst_componenten="","", IF(OR(HN21=0,HN21=""),HO20, IF(HO20="",HN21,1-(1-HN21)*(1-HO20))))</f>
        <v/>
      </c>
      <c r="HP21" s="107" t="n"/>
      <c r="HQ21" s="118">
        <f>IF(AND(functie_10&lt;&gt;"",lambda&lt;&gt;""),lambda*m_schip,"")</f>
        <v/>
      </c>
      <c r="HR21" s="118">
        <f>IF(functie_10&lt;&gt;"",lambda_functie,"")</f>
        <v/>
      </c>
      <c r="HS21" s="118">
        <f>IF(functie_10&lt;&gt;"",ONB_missie,"")</f>
        <v/>
      </c>
      <c r="HT21" s="115">
        <f>IF(Lijst_componenten="","", IF(OR(HS21=0,HS21=""),HT20, IF(HT20="",HS21,1-(1-HS21)*(1-HT20))))</f>
        <v/>
      </c>
      <c r="HU21" s="118">
        <f>IF(functie_10&lt;&gt;"",ONB_aanvang,"")</f>
        <v/>
      </c>
      <c r="HV21" s="115">
        <f>IF(Lijst_componenten="","", IF(OR(HU21=0,HU21=""),HV20, IF(HV20="",HU21,1-(1-HU21)*(1-HV20))))</f>
        <v/>
      </c>
      <c r="HW21" s="353" t="n"/>
      <c r="HX21" s="113" t="n"/>
      <c r="HY21" s="353" t="n"/>
      <c r="HZ21" s="353" t="n"/>
      <c r="IA21" s="353" t="n"/>
      <c r="IB21" s="353" t="n"/>
      <c r="IC21" s="353" t="n"/>
      <c r="ID21" s="353" t="n"/>
      <c r="IE21" s="353" t="n"/>
      <c r="IF21" s="353" t="n"/>
      <c r="IG21" s="353" t="n"/>
      <c r="IH21" s="353" t="n"/>
      <c r="II21" s="353" t="n"/>
      <c r="IJ21" s="353" t="n"/>
      <c r="IK21" s="353" t="n"/>
      <c r="IL21" s="353" t="n"/>
      <c r="IM21" s="353" t="n"/>
      <c r="IN21" s="353" t="n"/>
      <c r="IO21" s="353" t="n"/>
      <c r="IP21" s="353" t="n"/>
      <c r="IQ21" s="353" t="n"/>
      <c r="IR21" s="353" t="n"/>
      <c r="IS21" s="353" t="n"/>
      <c r="IT21" s="353" t="n"/>
      <c r="IU21" s="353" t="n"/>
      <c r="IV21" s="353" t="n"/>
    </row>
    <row r="22" ht="12" customFormat="1" customHeight="1" s="353">
      <c r="A22" s="99" t="n">
        <v>5</v>
      </c>
      <c r="B22" s="649">
        <f>N(Invoer!B42)</f>
        <v/>
      </c>
      <c r="C22" s="649">
        <f>N(Invoer!C42)</f>
        <v/>
      </c>
      <c r="D22" s="649">
        <f>N(Invoer!D42)</f>
        <v/>
      </c>
      <c r="E22" s="649">
        <f>N(Invoer!E42)</f>
        <v/>
      </c>
      <c r="F22" s="649">
        <f>N(Invoer!F42)</f>
        <v/>
      </c>
      <c r="G22" s="649">
        <f>N(Invoer!G42)</f>
        <v/>
      </c>
      <c r="H22" s="649">
        <f>N(Invoer!H42)</f>
        <v/>
      </c>
      <c r="I22" s="649">
        <f>N(Invoer!I42)</f>
        <v/>
      </c>
      <c r="J22" s="649">
        <f>N(Invoer!J42)</f>
        <v/>
      </c>
      <c r="K22" s="649">
        <f>N(Invoer!K42)</f>
        <v/>
      </c>
      <c r="L22" s="58">
        <f>IF(Invoer!L42="","",Invoer!L42)</f>
        <v/>
      </c>
      <c r="M22" s="650">
        <f>N(Invoer!M42)</f>
        <v/>
      </c>
      <c r="N22" s="58">
        <f>IF(Invoer!N42="","",Invoer!N42)</f>
        <v/>
      </c>
      <c r="O22" s="119" t="n"/>
      <c r="P22" s="96">
        <f>IF(Invoer!BK42="","",Invoer!BK42)</f>
        <v/>
      </c>
      <c r="Q22" s="96">
        <f>IF(Invoer!BL42="","",Invoer!BL42)</f>
        <v/>
      </c>
      <c r="R22" s="96">
        <f>IF(Invoer!BM42="","",Invoer!BM42)</f>
        <v/>
      </c>
      <c r="S22" s="96">
        <f>IF(Invoer!BN42="","",Invoer!BN42)</f>
        <v/>
      </c>
      <c r="T22" s="96">
        <f>IF(Invoer!BO42="","",Invoer!BO42)</f>
        <v/>
      </c>
      <c r="U22" s="96">
        <f>IF(Invoer!BP42="","",Invoer!BP42)</f>
        <v/>
      </c>
      <c r="V22" s="60" t="n"/>
      <c r="W22" s="115">
        <f>IF(Invoer!BQ42="","",Invoer!BQ42)</f>
        <v/>
      </c>
      <c r="X22" s="115">
        <f>IF(Invoer!BR42="","",Invoer!BR42)</f>
        <v/>
      </c>
      <c r="Y22" s="60" t="n"/>
      <c r="Z22" s="115">
        <f>IF(Invoer!BS42="","",Invoer!BS42)</f>
        <v/>
      </c>
      <c r="AA22" s="115">
        <f>IF(Invoer!BT42="","",Invoer!BT42)</f>
        <v/>
      </c>
      <c r="AB22" s="115">
        <f>IF(Invoer!P42="","",Invoer!P42)</f>
        <v/>
      </c>
      <c r="AC22" s="60" t="n"/>
      <c r="AD22" s="34">
        <f>IF(Invoer!Q42="","",Invoer!Q42)</f>
        <v/>
      </c>
      <c r="AE22" s="110" t="n"/>
      <c r="AF22" s="96">
        <f>IF(Invoer!R42="","",Invoer!R42)</f>
        <v/>
      </c>
      <c r="AG22" s="107" t="n"/>
      <c r="AH22" s="107" t="n"/>
      <c r="AI22" s="658">
        <f>IF(N(Invoer!S42)=0,"",Invoer!S42)</f>
        <v/>
      </c>
      <c r="AJ22" s="659">
        <f>IF(Invoer!T42="","",Invoer!T42)</f>
        <v/>
      </c>
      <c r="AK22" s="365" t="n"/>
      <c r="AL22" s="659">
        <f>IF(Invoer!U42="","",Invoer!U42)</f>
        <v/>
      </c>
      <c r="AM22" s="659">
        <f>IF(Invoer!V42="","",Invoer!V42)</f>
        <v/>
      </c>
      <c r="AN22" s="659">
        <f>IF(Invoer!W42="","",Invoer!W42)</f>
        <v/>
      </c>
      <c r="AO22" s="368" t="n"/>
      <c r="AP22" s="660">
        <f>N(Invoer!X42)</f>
        <v/>
      </c>
      <c r="AQ22" s="660">
        <f>N(Invoer!Y42)</f>
        <v/>
      </c>
      <c r="AR22" s="660">
        <f>N(Invoer!Z42)</f>
        <v/>
      </c>
      <c r="AS22" s="660">
        <f>N(Invoer!AA42)</f>
        <v/>
      </c>
      <c r="AT22" s="660">
        <f>N(Invoer!AB42)</f>
        <v/>
      </c>
      <c r="AU22" s="660">
        <f>N(Invoer!AC42)</f>
        <v/>
      </c>
      <c r="AV22" s="368" t="n"/>
      <c r="AW22" s="661">
        <f>N(Invoer!AD42)</f>
        <v/>
      </c>
      <c r="AX22" s="368" t="n"/>
      <c r="AY22" s="541">
        <f>IF(Periodiciteit&lt;&gt;"",(uurtarief_wd*(IF(ISNUMBER(tijd_wd),tijd_wd,0))+uurtarief_td*(IF(ISNUMBER(tijd_td),tijd_td,0))+uurtarief_sb*(IF(ISNUMBER(tijd_sb),tijd_sb,0))+uurtarief_rw*(IF(ISNUMBER(tijd_rw),tijd_rw,0))+uurtarief_d*(IF(ISNUMBER(tijd_d),tijd_d,0))+uurtarief_3*(IF(ISNUMBER(tijd_3),tijd_3,0)) +(IF(ISNUMBER(f_vast),f_vast,0)))*(IF(Perio_int="j",1,IF(Perio_int="m",12,IF(Perio_int="w",52,IF(Perio_int="d",365,0)))))*Periodiciteit*aantal_componenten,"")</f>
        <v/>
      </c>
      <c r="AZ22" s="368" t="n"/>
      <c r="BA22" s="542">
        <f>IF(N(Invoer!AE42)=0,"",Invoer!AE42)</f>
        <v/>
      </c>
      <c r="BB22" s="368" t="n"/>
      <c r="BC22" s="542">
        <f>IF(AND(Periodiciteit&lt;&gt;"",Kosten_res_pk&lt;&gt;""), Kosten_res_pk*(IF(Perio_int="j",1,IF(Perio_int="m",12,IF(Perio_int="w",52,IF(Perio_int="d",365,0)))))*Periodiciteit*aantal_componenten,"")</f>
        <v/>
      </c>
      <c r="BD22" s="368" t="n"/>
      <c r="BE22" s="370" t="n"/>
      <c r="BF22" s="368" t="n"/>
      <c r="BG22" s="542">
        <f>IF(Kosten_res_trade &lt;&gt;"", Kosten_res_trade, Kosten_res_jaar )</f>
        <v/>
      </c>
      <c r="BH22" s="368" t="n"/>
      <c r="BI22" s="543">
        <f>IF(N(Invoer!AF42)=0,"",Invoer!AF42)</f>
        <v/>
      </c>
      <c r="BJ22" s="368" t="n"/>
      <c r="BK22" s="543">
        <f>IF(AND(Periodiciteit&lt;&gt;"",Gevolgkosten&lt;&gt;""), Gevolgkosten*(IF(Perio_int="j",1,IF(Perio_int="m",12,IF(Perio_int="w",52,IF(Perio_int="d",365,0)))))*Periodiciteit*aantal_componenten,"")</f>
        <v/>
      </c>
      <c r="BL22" s="368" t="n"/>
      <c r="BM22" s="660">
        <f>N(Invoer!AJ42)</f>
        <v/>
      </c>
      <c r="BN22" s="662">
        <f>N(Invoer!AK42)</f>
        <v/>
      </c>
      <c r="BO22" s="662">
        <f>N(Invoer!AL42)</f>
        <v/>
      </c>
      <c r="BP22" s="662">
        <f>N(Invoer!AM42)</f>
        <v/>
      </c>
      <c r="BQ22" s="368" t="n"/>
      <c r="BR22" s="662">
        <f>N(Invoer!AN42)</f>
        <v/>
      </c>
      <c r="BS22" s="543">
        <f>IF(N(Invoer!AO42)=0,"",Invoer!AO42)</f>
        <v/>
      </c>
      <c r="BT22" s="662">
        <f>N(Invoer!AP42)</f>
        <v/>
      </c>
      <c r="BU22" s="368" t="n"/>
      <c r="BV22" s="662">
        <f>N(Invoer!AQ42)</f>
        <v/>
      </c>
      <c r="BW22" s="663">
        <f>N(Invoer!AR42)</f>
        <v/>
      </c>
      <c r="BX22" s="480" t="n"/>
      <c r="BY22" s="477" t="n"/>
      <c r="BZ22" s="107" t="n"/>
      <c r="CA22" s="64">
        <f>IF(N(Invoer!AG42)=0,"",Invoer!AG42)</f>
        <v/>
      </c>
      <c r="CB22" s="657">
        <f>N(Invoer!AH42)</f>
        <v/>
      </c>
      <c r="CC22" s="657">
        <f>N(Invoer!AI42)</f>
        <v/>
      </c>
      <c r="CD22" s="64">
        <f>IF( OR(CO_rep&lt;&gt;"",CO_verv&lt;&gt;""),IF(lambda_fabrikant&lt;&gt;"",IF(Uitvoeren_missie="N", (1-EXP(-aantal_componenten*lambda_fabrikant*Missieduur*p_gebruik_missie))/Missieduur/aantal_componenten,
IF(doorlooptijd_missie_i &lt;&gt; 0,((aantal_componenten*lambda_fabrikant*(1/doorlooptijd_missie_i)/(aantal_componenten*lambda_fabrikant+1/doorlooptijd_missie_i))*Missieduur*p_gebruik_missie+(aantal_componenten*lambda_fabrikant)^2/(aantal_componenten*lambda_fabrikant+1/doorlooptijd_missie_i)^2*(1-EXP(-(aantal_componenten*lambda_fabrikant+1/doorlooptijd_missie_i)*Missieduur*p_gebruik_missie)))/Missieduur/aantal_componenten,lambda_fabrikant*p_gebruik_missie)),""),"")</f>
        <v/>
      </c>
      <c r="CE22" s="64">
        <f>IF( OR(CO_rep&lt;&gt;"",CO_verv&lt;&gt;""),IF(lambda_fabrikant&lt;&gt;"",IF(uitvoeren_GO = "J", (1-EXP(-(aantal_componenten*lambda_fabrikant*p_gebruik_wal* interval_groot_onderhoud/8760*Missies_per_jaar*walduur)))/ (interval_groot_onderhoud/8760*Missies_per_jaar*walduur) / aantal_componenten,IF(doorlooptijd_wal_i &lt;&gt; 0,((aantal_componenten*lambda_fabrikant*(1/doorlooptijd_wal_i)/(aantal_componenten*lambda_fabrikant+1/doorlooptijd_wal_i))*walduur*p_gebruik_wal+(aantal_componenten*lambda_fabrikant)^2/(aantal_componenten*lambda_fabrikant+1/doorlooptijd_wal_i)^2*(1-EXP(-(aantal_componenten*lambda_fabrikant+1/doorlooptijd_wal_i)*walduur*p_gebruik_wal)))/walduur/aantal_componenten,lambda_fabrikant*p_gebruik_wal)),""),"")</f>
        <v/>
      </c>
      <c r="CF22" s="64">
        <f>IF( OR(CO_rep&lt;&gt;"",CO_verv&lt;&gt;""),
IF(OR(lambda_missie_g&lt;&gt;"",lambda_wal_g&lt;&gt;""), "", IF(Perio_int="j",1/8760, IF(Perio_int="m",12/8760, IF(Perio_int="w",52/8760, IF(Perio_int="d",365/8760,"error") ) ) )*Periodiciteit),"")</f>
        <v/>
      </c>
      <c r="CG22" s="66">
        <f>IF(OR(CO_rep&lt;&gt;"",CO_verv&lt;&gt;""),1,"")</f>
        <v/>
      </c>
      <c r="CH22" s="64">
        <f>IF( OR(CO_rep&lt;&gt;"",CO_verv&lt;&gt;""),IF(lambda_fabrikant="",lambda_kalendertijd*missiepercentage*8760/(Missies_per_jaar*Missieduur),""),"")</f>
        <v/>
      </c>
      <c r="CI22" s="64">
        <f>IF( OR(CO_rep&lt;&gt;"",CO_verv&lt;&gt;""),IF(lambda_fabrikant="",lambda_kalendertijd*(1-missiepercentage)*8760/(Missies_per_jaar*walduur),""),"")</f>
        <v/>
      </c>
      <c r="CJ22" s="64">
        <f>IF( OR(CO_rep&lt;&gt;"",CO_verv&lt;&gt;""),
IF(OR(lambda_missie_g&lt;&gt;"",lambda_wal_g&lt;&gt;""), (lambda_missie_g*Missieduur + lambda_wal_g*walduur)/8760*Missies_per_jaar, lambda_kalendertijd),"")</f>
        <v/>
      </c>
      <c r="CK22" s="64">
        <f>IF(lambda&lt;&gt;"",m_schip*lambda,"")</f>
        <v/>
      </c>
      <c r="CL22" s="65">
        <f>IF(OR(CO_rep&lt;&gt;"",CO_verv&lt;&gt;""),IF(Redundantie = "J","?",1),"")</f>
        <v/>
      </c>
      <c r="CM22" s="64">
        <f>IF(lambda&lt;&gt;"",IF(Redundantie="J",IF(lambda_missie_g&lt;&gt;"",lambda_missie_g*redundantie_factor,lambda_missie*redundantie_factor),IF(lambda_missie_g&lt;&gt;"",lambda_missie_g*m_schip,lambda_missie*m_schip)),"")</f>
        <v/>
      </c>
      <c r="CN22" s="64">
        <f>IF(lambda&lt;&gt;"",lambda_functie*Missieduur*Missies_per_jaar/8760,"")</f>
        <v/>
      </c>
      <c r="CO22" s="64">
        <f>IF(lambda&lt;&gt;"",IF(Redundantie="J",IF(lambda_wal_g&lt;&gt;"",lambda_wal_g*redundantie_factor,lambda_wal*redundantie_factor),IF(lambda_wal_g&lt;&gt;"",lambda_wal_g*m_schip,lambda_wal*m_schip)),"")</f>
        <v/>
      </c>
      <c r="CP22" s="64">
        <f>IF(lambda&lt;&gt;"",lambda_functie_wal*walduur*Missies_per_jaar/8760,"")</f>
        <v/>
      </c>
      <c r="CQ22" s="107" t="n"/>
      <c r="CR22" s="115">
        <f>IF(OR(CO_verv&lt;&gt;"",CO_rep&lt;&gt;""),aantal_componenten,"")</f>
        <v/>
      </c>
      <c r="CS22" s="66">
        <f>IF( OR(CO_rep&lt;&gt;"",CO_verv&lt;&gt;""),IF(Aantal_res_boord=0,1,IF(lambda_missie_g&lt;&gt;"",1-POISSON(Aantal_res_boord-1,m_schip*lambda_missie_g*Missieduur,TRUE),1-POISSON(Aantal_res_boord-1,m_schip*lambda_missie*Missieduur,TRUE))),"")</f>
        <v/>
      </c>
      <c r="CT22" s="107" t="n"/>
      <c r="CU22" s="115">
        <f>IF(OR(CO_verv&lt;&gt;"",CO_rep&lt;&gt;""),Aantal_fregatten * m_schip,"")</f>
        <v/>
      </c>
      <c r="CV22" s="65">
        <f>IF(AND(lambda&gt;0,Aantal_ini_wal&gt;=0,Aantal_res_wal&lt;&gt;""),IF(Aantal_ini_wal&gt;Aantal_res_wal,(Aantal_ini_wal-Aantal_res_wal)/(m_vloot*lambda*8760),0),"")</f>
        <v/>
      </c>
      <c r="CW22" s="65">
        <f>IF(AND(lambda&gt;0,Aantal_max_wal&gt;=0,Aantal_res_wal&lt;&gt;""),IF(Aantal_max_wal&gt;Aantal_res_wal,(Aantal_max_wal-Aantal_res_wal)/(m_vloot*lambda*8760),0),"")</f>
        <v/>
      </c>
      <c r="CX22" s="68">
        <f>IF(AND(ini_periode&lt;&gt;"",bestel_interval&lt;&gt;"",besteltijd&lt;&gt;""),IF(ini_periode&gt;=Looptijd,0,
IF(bestel_interval&gt;=(Looptijd-ini_periode),IF(besteltijd&lt;(Looptijd-ini_periode),besteltijd/8760/Looptijd,(Looptijd-ini_periode)/Looptijd),
IF(((Looptijd-ini_periode)-(INT((Looptijd-ini_periode)/(besteltijd/8760+bestel_interval))))&gt;=besteltijd/8760,(1+INT((Looptijd-ini_periode)/(besteltijd/8760+bestel_interval)))*(besteltijd/8760)/Looptijd,(INT((Looptijd-ini_periode)/(besteltijd/8760+bestel_interval))*(besteltijd/8760)+((Looptijd-ini_periode)-(INT((Looptijd-ini_periode)/(besteltijd/8760+bestel_interval)))*(besteltijd/8760+bestel_interval)))/Looptijd))),"")</f>
        <v/>
      </c>
      <c r="CY22" s="66">
        <f>IF( OR(CO_rep&lt;&gt;"",CO_verv&lt;&gt;""),
IF( Aantal_res_wal+(Aantal_fregatten-1)*Aantal_res_boord=0, 1*IF(percentage_looptijd_inbestelling&lt;&gt;"",percentage_looptijd_inbestelling,1),
(1-POISSON(Aantal_res_wal-1+(Aantal_fregatten-1)*Aantal_res_boord, m_vloot*lambda*besteltijd,TRUE))*IF(percentage_looptijd_inbestelling&lt;&gt;"",percentage_looptijd_inbestelling,1)),"")</f>
        <v/>
      </c>
      <c r="CZ22" s="66">
        <f>IF( OR(CO_rep&lt;&gt;"",CO_verv&lt;&gt;""),IF( Aantal_res_wal=0,1, 1-POISSON(Aantal_res_boord+Aantal_res_wal-1, m_vloot*lambda*besteltijd,TRUE) ),"")</f>
        <v/>
      </c>
      <c r="DA22" s="107" t="n"/>
      <c r="DB22" s="115">
        <f>IF(OR(Uitvoeren_missie&lt;&gt;"J",uitvoeren_bedrijf="J",uitvoeren_GO="J"), "",
IF(TAO_revisie&lt;&gt;"", TAO_rev_verv_tijd,
IF(TAO_vervanging&lt;&gt;"", TAO_rev_verv_tijd,
IF(PO_doorlooptijd&lt;&gt;0, PO_doorlooptijd,"" ))))</f>
        <v/>
      </c>
      <c r="DC22" s="107" t="n"/>
      <c r="DD22" s="115">
        <f>IF(AND(CO_rep&lt;&gt;"", Uitvoeren_missie="N"), Missieduur,
IF(AND(CO_rep&lt;&gt;"", Uitvoeren_missie="J"), CO_zoektijd + CO_rep_verv_tijd,""))</f>
        <v/>
      </c>
      <c r="DE22" s="115">
        <f>IF(AND(CO_verv&lt;&gt;"", Uitvoeren_missie="N"), Missieduur,
IF(AND(CO_verv&lt;&gt;"", Uitvoeren_missie="J"), CO_zoektijd + CO_rep_verv_tijd,""))</f>
        <v/>
      </c>
      <c r="DF22" s="115">
        <f>IF(AND(CO_verv&lt;&gt;"", Uitvoeren_missie="N"), Missieduur,
IF(AND(CO_verv&lt;&gt;"", Uitvoeren_missie="J"), wachttijd_invlieg+CO_zoektijd + CO_rep_verv_tijd,""))</f>
        <v/>
      </c>
      <c r="DG22" s="115">
        <f>IF(AND(CO_verv&lt;&gt;"", Uitvoeren_missie="N"), Missieduur,
IF(AND(CO_verv&lt;&gt;"", Uitvoeren_missie="J"), besteltijd + wachttijd_invlieg + CO_zoektijd + CO_rep_verv_tijd,""))</f>
        <v/>
      </c>
      <c r="DH22" s="115">
        <f> IF(AND(doorlooptijd_missie_met&lt;&gt;"",CO_verv&lt;&gt;""), P_op_boord* ( P_op_vloot*doorlooptijd_missie_zonder + (1-P_op_vloot)*doorlooptijd_invlieg ) + (1-P_op_boord)* doorlooptijd_missie_met, "")</f>
        <v/>
      </c>
      <c r="DI22" s="115">
        <f>IF(CO_rep&lt;&gt;"",doorlooptijd_missie_rep,IF(AND(CO_verv&lt;&gt;"",Aantal_res_boord&lt;&gt;"",Aantal_res_boord&lt;&gt;0),doorlooptijd_missie_met,IF(AND(CO_verv&lt;&gt;"",Aantal_max_wal&lt;&gt;"",Aantal_max_wal&lt;&gt;0),doorlooptijd_invlieg,doorlooptijd_missie_zonder)))</f>
        <v/>
      </c>
      <c r="DJ22" s="115">
        <f>IF(doorlooptijd_missie_verv&lt;&gt;"", doorlooptijd_missie_verv, IF(doorlooptijd_missie_rep&lt;&gt;"", doorlooptijd_missie_rep,""))</f>
        <v/>
      </c>
      <c r="DK22" s="107" t="n"/>
      <c r="DL22" s="115">
        <f> IF(CO_rep&lt;&gt;"", CO_zoektijd + CO_rep_verv_tijd,"")</f>
        <v/>
      </c>
      <c r="DM22" s="115">
        <f> IF(AND(CO_verv&lt;&gt;"",CO_rep=""), wachttijd_wal+CO_zoektijd + CO_rep_verv_tijd,"")</f>
        <v/>
      </c>
      <c r="DN22" s="115">
        <f> IF(AND(CO_verv&lt;&gt;"",CO_rep=""), wachttijd_invlieg+CO_zoektijd + CO_rep_verv_tijd,"")</f>
        <v/>
      </c>
      <c r="DO22" s="115">
        <f>IF(AND(CO_verv&lt;&gt;"",CO_rep=""), besteltijd + wachttijd_wal + CO_zoektijd + CO_rep_verv_tijd,"")</f>
        <v/>
      </c>
      <c r="DP22" s="69">
        <f> IF(AND(doorlooptijd_van_wal&lt;&gt;"",CO_verv&lt;&gt;""), P_op_vloot*doorlooptijd_wal_zonder +
(1-P_op_vloot)*(P_op_wal*Doorlooptijd_transport+ (1-P_op_wal)*doorlooptijd_van_wal ), "")</f>
        <v/>
      </c>
      <c r="DQ22" s="115">
        <f>IF(CO_rep&lt;&gt;"",doorlooptijd_wal_rep,IF(AND(CO_verv&lt;&gt;"",AND(Aantal_res_boord&lt;&gt;"",Aantal_res_boord&lt;&gt;0)),doorlooptijd_van_wal,IF(AND(CO_verv&lt;&gt;"",AND(Aantal_max_wal&lt;&gt;"",Aantal_max_wal&lt;&gt;0)),Doorlooptijd_transport,doorlooptijd_wal_zonder)))</f>
        <v/>
      </c>
      <c r="DR22" s="115">
        <f>IF(doorlooptijd_wal_verv&lt;&gt;"", doorlooptijd_wal_verv, IF(doorlooptijd_wal_rep&lt;&gt;"", doorlooptijd_wal_rep,""))</f>
        <v/>
      </c>
      <c r="DS22" s="107" t="n"/>
      <c r="DT22" s="64">
        <f>IF(OR(CO_verv&lt;&gt;"",CO_rep&lt;&gt;""),IF(lambda_functie&lt;&gt;"",ONB_missie_tussenberekening_1 + ONB_missie_tussenberekening_2,""),"")</f>
        <v/>
      </c>
      <c r="DU22" s="64">
        <f>IF(OR(CO_rep&lt;&gt;"",CO_verv&lt;&gt;""),IF(lambda_functie&lt;&gt;"",IF(Uitvoeren_missie="N",1-(1-EXP(-lambda_functie*Missieduur))/(lambda_functie*Missieduur),IF(CO_verv&lt;&gt;"",
(1-P_op_boord)*IF(doorlooptijd_missie_met&lt;&gt;0,lambda_functie/(lambda_functie+(1/doorlooptijd_missie_met))-lambda_functie/((lambda_functie+(1/doorlooptijd_missie_met))^2*Missieduur)*(1-EXP(-(lambda_functie+(1/doorlooptijd_missie_met))*Missieduur)),0)+P_op_boord*((1-P_op_vloot)*IF(doorlooptijd_invlieg&lt;&gt;0,lambda_functie/(lambda_functie+(1 /doorlooptijd_invlieg))-lambda_functie/((lambda_functie+(1/doorlooptijd_invlieg))^2*Missieduur)*(1-EXP(-(lambda_functie+(1/doorlooptijd_invlieg))*Missieduur)),0)+P_op_vloot*IF(doorlooptijd_missie_zonder&lt;&gt;0,lambda_functie/(lambda_functie+(1/doorlooptijd_missie_zonder))-lambda_functie/((lambda_functie+(1/doorlooptijd_missie_zonder))^2*Missieduur)*(1-EXP(-(lambda_functie+(1/doorlooptijd_missie_zonder))*Missieduur)),0)),0)),0),"")</f>
        <v/>
      </c>
      <c r="DV22" s="64">
        <f>IF(OR(CO_rep&lt;&gt;"",CO_verv&lt;&gt;""),IF(lambda_functie&lt;&gt;"",IF(CO_rep&lt;&gt;"",
IF(doorlooptijd_missie_rep&lt;&gt;0,lambda_functie/(lambda_functie+(1/doorlooptijd_missie_rep))-lambda_functie/((lambda_functie+(1/doorlooptijd_missie_rep))^2*Missieduur)*(1-EXP(-(lambda_functie+(1/doorlooptijd_missie_rep))*Missieduur)),0),0)),"")</f>
        <v/>
      </c>
      <c r="DW22" s="66">
        <f>IF(ONB_missie="","",IF(tot_ONB_missie&lt;&gt;0,ONB_missie/tot_ONB_missie,0))</f>
        <v/>
      </c>
      <c r="DX22" s="115">
        <f>IF(Lijst_componenten="","", IF(OR(DT22=0,DT22=""),DX21, IF(DX21="",DT22,1-(1-DT22)*(1-DX21))))</f>
        <v/>
      </c>
      <c r="DY22" s="107" t="n"/>
      <c r="DZ22" s="96">
        <f>IF(OR(CO_rep&lt;&gt;"",CO_verv&lt;&gt;""),IF(uitvoeren_GO="J",ONB_tussenberekening_1,IF(CO_rep&lt;&gt;"",ONB_tussenberekening_2,ONB_tussenberekening_3+ONB_tussenberekening_4+ONB_tussenberekening_5)),"")</f>
        <v/>
      </c>
      <c r="EA22" s="96">
        <f>IF(OR(CO_rep&lt;&gt;"",CO_verv&lt;&gt;""),IF(AND(OR(lambda_functie_kalendertijd&lt;&gt;"",lambda_functie_wal_kalendertijd&lt;&gt;""),uitvoeren_GO="J"),
1-(1-EXP(-(lambda_functie_kalendertijd+lambda_functie_wal_kalendertijd)*interval_groot_onderhoud))
/((lambda_functie_kalendertijd+lambda_functie_wal_kalendertijd)*interval_groot_onderhoud),0),"")</f>
        <v/>
      </c>
      <c r="EB22" s="96">
        <f>IF(OR(CO_rep&lt;&gt;"",CO_verv&lt;&gt;""),IF(AND(CO_rep &lt;&gt;"",OR(doorlooptijd_missie_rep&gt;=walduur,doorlooptijd_wal_rep &gt;= walduur)),IF(doorlooptijd_missie_rep &gt;= walduur,lambda_functie_kalendertijd / (lambda_functie_kalendertijd + 1/doorlooptijd_missie_rep),0)
+ IF(doorlooptijd_wal_rep &gt;= walduur,lambda_functie_wal_kalendertijd / (lambda_functie_wal_kalendertijd + 1/doorlooptijd_wal_rep),0),IF(CO_rep &lt;&gt; "",(1 -EXP(-(lambda_functie_wal_kalendertijd + 1 / doorlooptijd_wal_rep)*walduur))
* lambda_functie_wal_kalendertijd / (lambda_functie_wal_kalendertijd + 1/ doorlooptijd_wal_rep),0)),"")</f>
        <v/>
      </c>
      <c r="EC22" s="96">
        <f>IF(OR(CO_rep&lt;&gt;"",CO_verv&lt;&gt;""),IF(CO_verv&lt;&gt;"",
P_op_boord* ( P_op_vloot*IF(doorlooptijd_missie_zonder&gt;=walduur, lambda_functie_kalendertijd / (lambda_functie_kalendertijd + 1/doorlooptijd_missie_zonder),0)+ (1- P_op_vloot)*IF(doorlooptijd_invlieg&gt;=walduur, lambda_functie_kalendertijd / (lambda_functie_kalendertijd + 1 /doorlooptijd_invlieg),0) )
+ (1- P_op_boord) * IF(doorlooptijd_missie_met&gt;=walduur,lambda_functie_kalendertijd / (lambda_functie_kalendertijd + 1 / doorlooptijd_missie_met),0),0),"")</f>
        <v/>
      </c>
      <c r="ED22" s="96">
        <f>IF(OR(CO_rep&lt;&gt;"",CO_verv&lt;&gt;""),IF(CO_verv &lt;&gt;"",
(1-P_op_vloot)*((1 - P_op_wal)*IF(doorlooptijd_van_wal&gt;=walduur,lambda_functie_wal_kalendertijd/(lambda_functie_wal_kalendertijd+ 1/ doorlooptijd_van_wal),0)
+ P_op_wal*IF(Doorlooptijd_transport&gt;=walduur,lambda_functie_wal_kalendertijd / (lambda_functie_wal_kalendertijd +1/Doorlooptijd_transport),0) )+ P_op_vloot*IF(doorlooptijd_wal_zonder&gt;=walduur, lambda_functie_wal_kalendertijd / (lambda_functie_wal_kalendertijd + 1/ doorlooptijd_wal_zonder),0),0),"")</f>
        <v/>
      </c>
      <c r="EE22" s="96">
        <f>IF(OR(CO_rep&lt;&gt;"",CO_verv&lt;&gt;""),IF(CO_verv &lt;&gt;"",
(1-P_op_vloot)* ( (1- P_op_wal)* (IF(AND(doorlooptijd_van_wal&lt;&gt;0,doorlooptijd_van_wal&lt;walduur),(1 -EXP(-(lambda_functie_wal_kalendertijd + 1 / doorlooptijd_van_wal)*walduur))
* lambda_functie_wal_kalendertijd / (lambda_functie_wal_kalendertijd + 1/ doorlooptijd_van_wal),0))
+ P_op_wal*(IF(AND(Doorlooptijd_transport&lt;&gt;0,Doorlooptijd_transport&lt;walduur),(1 -EXP(-(lambda_functie_wal_kalendertijd + 1 / Doorlooptijd_transport)*walduur))
* lambda_functie_wal_kalendertijd /(lambda_functie_wal_kalendertijd + 1/ Doorlooptijd_transport),0)))
+ P_op_vloot*(IF(AND(doorlooptijd_wal_zonder&lt;&gt;0,doorlooptijd_wal_zonder&lt;walduur),(1 -EXP(-(lambda_functie_wal_kalendertijd + 1 / doorlooptijd_wal_zonder)*walduur))
* lambda_functie_wal_kalendertijd / (lambda_functie_wal_kalendertijd + 1/ doorlooptijd_wal_zonder),0)),0),"")</f>
        <v/>
      </c>
      <c r="EF22" s="66">
        <f>IF(ONB_aanvang="","",IF(tot_ONB_aanvang&lt;&gt;0,ONB_aanvang/tot_ONB_aanvang,0))</f>
        <v/>
      </c>
      <c r="EG22" s="115">
        <f>IF(Lijst_componenten="","", IF(OR(DZ22=0,DZ22=""),EG21, IF(EG21="",DZ22,1-(1-DZ22)*(1-EG21))))</f>
        <v/>
      </c>
      <c r="EH22" s="107" t="n"/>
      <c r="EI22" s="40">
        <f>IF(Invoer!BE42="","",Invoer!BE42)</f>
        <v/>
      </c>
      <c r="EJ22" s="71" t="n"/>
      <c r="EK22" s="120" t="n"/>
      <c r="EL22" s="119" t="n"/>
      <c r="EM22" s="107" t="n"/>
      <c r="EN22" s="72" t="n"/>
      <c r="EO22" s="107" t="n"/>
      <c r="EP22" s="107" t="n"/>
      <c r="EQ22" s="119" t="n"/>
      <c r="ER22" s="120" t="n"/>
      <c r="ES22" s="119" t="n"/>
      <c r="ET22" s="119" t="n"/>
      <c r="EU22" s="115">
        <f>IF(Invoer!AS42="","",Invoer!AS42)</f>
        <v/>
      </c>
      <c r="EV22" s="115">
        <f>IF(Invoer!AT42="","",Invoer!AT42)</f>
        <v/>
      </c>
      <c r="EW22" s="115">
        <f>IF(Invoer!AU42="","",Invoer!AU42)</f>
        <v/>
      </c>
      <c r="EX22" s="115">
        <f>IF(Invoer!AV42="","",Invoer!AV42)</f>
        <v/>
      </c>
      <c r="EY22" s="115">
        <f>IF(Invoer!AW42="","",Invoer!AW42)</f>
        <v/>
      </c>
      <c r="EZ22" s="115">
        <f>IF(Invoer!AX42="","",Invoer!AX42)</f>
        <v/>
      </c>
      <c r="FA22" s="115">
        <f>IF(Invoer!AY42="","",Invoer!AY42)</f>
        <v/>
      </c>
      <c r="FB22" s="115">
        <f>IF(Invoer!AZ42="","",Invoer!AZ42)</f>
        <v/>
      </c>
      <c r="FC22" s="115">
        <f>IF(Invoer!BA42="","",Invoer!BA42)</f>
        <v/>
      </c>
      <c r="FD22" s="115">
        <f>IF(Invoer!BB42="","",Invoer!BB42)</f>
        <v/>
      </c>
      <c r="FE22" s="348" t="n"/>
      <c r="FF22" s="118">
        <f>IF(AND(functie_1&lt;&gt;"",lambda&lt;&gt;""),lambda*m_schip,"")</f>
        <v/>
      </c>
      <c r="FG22" s="118">
        <f>IF(functie_1&lt;&gt;"",lambda_functie,"")</f>
        <v/>
      </c>
      <c r="FH22" s="118">
        <f>IF(functie_1&lt;&gt;"",ONB_missie,"")</f>
        <v/>
      </c>
      <c r="FI22" s="115">
        <f>IF(Lijst_componenten="","", IF(OR(FH22=0,FH22=""),FI21, IF(FI21="",FH22,1-(1-FH22)*(1-FI21))))</f>
        <v/>
      </c>
      <c r="FJ22" s="118">
        <f>IF(functie_1&lt;&gt;"",ONB_aanvang,"")</f>
        <v/>
      </c>
      <c r="FK22" s="115">
        <f>IF(Lijst_componenten="","", IF(OR(FJ22=0,FJ22=""),FK21, IF(FK21="",FJ22,1-(1-FJ22)*(1-FK21))))</f>
        <v/>
      </c>
      <c r="FL22" s="107" t="n"/>
      <c r="FM22" s="118">
        <f>IF(AND(functie_2&lt;&gt;"",lambda&lt;&gt;""),lambda*m_schip,"")</f>
        <v/>
      </c>
      <c r="FN22" s="118">
        <f>IF(functie_2&lt;&gt;"",lambda_functie,"")</f>
        <v/>
      </c>
      <c r="FO22" s="118">
        <f>IF(functie_2&lt;&gt;"",ONB_missie,"")</f>
        <v/>
      </c>
      <c r="FP22" s="115">
        <f>IF(Lijst_componenten="","", IF(OR(FO22=0,FO22=""),FP21, IF(FP21="",FO22,1-(1-FO22)*(1-FP21))))</f>
        <v/>
      </c>
      <c r="FQ22" s="118">
        <f>IF(functie_2&lt;&gt;"",ONB_aanvang,"")</f>
        <v/>
      </c>
      <c r="FR22" s="115">
        <f>IF(Lijst_componenten="","", IF(OR(FQ22=0,FQ22=""),FR21, IF(FR21="",FQ22,1-(1-FQ22)*(1-FR21))))</f>
        <v/>
      </c>
      <c r="FS22" s="107" t="n"/>
      <c r="FT22" s="118">
        <f>IF(AND(functie_3&lt;&gt;"",lambda&lt;&gt;""),lambda*m_schip,"")</f>
        <v/>
      </c>
      <c r="FU22" s="118">
        <f>IF(functie_3&lt;&gt;"",lambda_functie,"")</f>
        <v/>
      </c>
      <c r="FV22" s="118">
        <f>IF(functie_3&lt;&gt;"",ONB_missie,"")</f>
        <v/>
      </c>
      <c r="FW22" s="115">
        <f>IF(Lijst_componenten="","", IF(OR(FV22=0,FV22=""),FW21, IF(FW21="",FV22,1-(1-FV22)*(1-FW21))))</f>
        <v/>
      </c>
      <c r="FX22" s="118">
        <f>IF(functie_3&lt;&gt;"",ONB_aanvang,"")</f>
        <v/>
      </c>
      <c r="FY22" s="115">
        <f>IF(Lijst_componenten="","", IF(OR(FX22=0,FX22=""),FY21, IF(FY21="",FX22,1-(1-FX22)*(1-FY21))))</f>
        <v/>
      </c>
      <c r="FZ22" s="107" t="n"/>
      <c r="GA22" s="118">
        <f>IF(AND(functie_4&lt;&gt;"",lambda&lt;&gt;""),lambda*m_schip,"")</f>
        <v/>
      </c>
      <c r="GB22" s="118">
        <f>IF(functie_4&lt;&gt;"",lambda_functie,"")</f>
        <v/>
      </c>
      <c r="GC22" s="118">
        <f>IF(functie_4&lt;&gt;"",ONB_missie,"")</f>
        <v/>
      </c>
      <c r="GD22" s="115">
        <f>IF(Lijst_componenten="","", IF(OR(GC22=0,GC22=""),GD21, IF(GD21="",GC22,1-(1-GC22)*(1-GD21))))</f>
        <v/>
      </c>
      <c r="GE22" s="118">
        <f>IF(functie_4&lt;&gt;"",ONB_aanvang,"")</f>
        <v/>
      </c>
      <c r="GF22" s="115">
        <f>IF(Lijst_componenten="","", IF(OR(GE22=0,GE22=""),GF21, IF(GF21="",GE22,1-(1-GE22)*(1-GF21))))</f>
        <v/>
      </c>
      <c r="GG22" s="107" t="n"/>
      <c r="GH22" s="118">
        <f>IF(AND(functie_5&lt;&gt;"",lambda&lt;&gt;""),lambda*m_schip,"")</f>
        <v/>
      </c>
      <c r="GI22" s="118">
        <f>IF(functie_5&lt;&gt;"",lambda_functie,"")</f>
        <v/>
      </c>
      <c r="GJ22" s="118">
        <f>IF(functie_5&lt;&gt;"",ONB_missie,"")</f>
        <v/>
      </c>
      <c r="GK22" s="115">
        <f>IF(Lijst_componenten="","", IF(OR(GJ22=0,GJ22=""),GK21, IF(GK21="",GJ22,1-(1-GJ22)*(1-GK21))))</f>
        <v/>
      </c>
      <c r="GL22" s="118">
        <f>IF(functie_5&lt;&gt;"",ONB_aanvang,"")</f>
        <v/>
      </c>
      <c r="GM22" s="115">
        <f>IF(Lijst_componenten="","", IF(OR(GL22=0,GL22=""),GM21, IF(GM21="",GL22,1-(1-GL22)*(1-GM21))))</f>
        <v/>
      </c>
      <c r="GN22" s="107" t="n"/>
      <c r="GO22" s="118">
        <f>IF(AND(functie_6&lt;&gt;"",lambda&lt;&gt;""),lambda*m_schip,"")</f>
        <v/>
      </c>
      <c r="GP22" s="118">
        <f>IF(functie_6&lt;&gt;"",lambda_functie,"")</f>
        <v/>
      </c>
      <c r="GQ22" s="118">
        <f>IF(functie_6&lt;&gt;"",ONB_missie,"")</f>
        <v/>
      </c>
      <c r="GR22" s="115">
        <f>IF(Lijst_componenten="","", IF(OR(GQ22=0,GQ22=""),GR21, IF(GR21="",GQ22,1-(1-GQ22)*(1-GR21))))</f>
        <v/>
      </c>
      <c r="GS22" s="118">
        <f>IF(functie_6&lt;&gt;"",ONB_aanvang,"")</f>
        <v/>
      </c>
      <c r="GT22" s="115">
        <f>IF(Lijst_componenten="","", IF(OR(GS22=0,GS22=""),GT21, IF(GT21="",GS22,1-(1-GS22)*(1-GT21))))</f>
        <v/>
      </c>
      <c r="GU22" s="107" t="n"/>
      <c r="GV22" s="118">
        <f>IF(AND(functie_7&lt;&gt;"",lambda&lt;&gt;""),lambda*m_schip,"")</f>
        <v/>
      </c>
      <c r="GW22" s="118">
        <f>IF(functie_7&lt;&gt;"",lambda_functie,"")</f>
        <v/>
      </c>
      <c r="GX22" s="118">
        <f>IF(functie_7&lt;&gt;"",ONB_missie,"")</f>
        <v/>
      </c>
      <c r="GY22" s="115">
        <f>IF(Lijst_componenten="","", IF(OR(GX22=0,GX22=""),GY21, IF(GY21="",GX22,1-(1-GX22)*(1-GY21))))</f>
        <v/>
      </c>
      <c r="GZ22" s="118">
        <f>IF(functie_7&lt;&gt;"",ONB_aanvang,"")</f>
        <v/>
      </c>
      <c r="HA22" s="115">
        <f>IF(Lijst_componenten="","", IF(OR(GZ22=0,GZ22=""),HA21, IF(HA21="",GZ22,1-(1-GZ22)*(1-HA21))))</f>
        <v/>
      </c>
      <c r="HB22" s="107" t="n"/>
      <c r="HC22" s="118">
        <f>IF(AND(functie_8&lt;&gt;"",lambda&lt;&gt;""),lambda*m_schip,"")</f>
        <v/>
      </c>
      <c r="HD22" s="118">
        <f>IF(functie_8&lt;&gt;"",lambda_functie,"")</f>
        <v/>
      </c>
      <c r="HE22" s="118">
        <f>IF(functie_8&lt;&gt;"",ONB_missie,"")</f>
        <v/>
      </c>
      <c r="HF22" s="115">
        <f>IF(Lijst_componenten="","", IF(OR(HE22=0,HE22=""),HF21, IF(HF21="",HE22,1-(1-HE22)*(1-HF21))))</f>
        <v/>
      </c>
      <c r="HG22" s="118">
        <f>IF(functie_8&lt;&gt;"",ONB_aanvang,"")</f>
        <v/>
      </c>
      <c r="HH22" s="115">
        <f>IF(Lijst_componenten="","", IF(OR(HG22=0,HG22=""),HH21, IF(HH21="",HG22,1-(1-HG22)*(1-HH21))))</f>
        <v/>
      </c>
      <c r="HI22" s="107" t="n"/>
      <c r="HJ22" s="118">
        <f>IF(AND(functie_9&lt;&gt;"",lambda&lt;&gt;""),lambda*m_schip,"")</f>
        <v/>
      </c>
      <c r="HK22" s="118">
        <f>IF(functie_9&lt;&gt;"",lambda_functie,"")</f>
        <v/>
      </c>
      <c r="HL22" s="118">
        <f>IF(functie_9&lt;&gt;"",ONB_missie,"")</f>
        <v/>
      </c>
      <c r="HM22" s="115">
        <f>IF(Lijst_componenten="","", IF(OR(HL22=0,HL22=""),HM21, IF(HM21="",HL22,1-(1-HL22)*(1-HM21))))</f>
        <v/>
      </c>
      <c r="HN22" s="118">
        <f>IF(functie_9&lt;&gt;"",ONB_aanvang,"")</f>
        <v/>
      </c>
      <c r="HO22" s="115">
        <f>IF(Lijst_componenten="","", IF(OR(HN22=0,HN22=""),HO21, IF(HO21="",HN22,1-(1-HN22)*(1-HO21))))</f>
        <v/>
      </c>
      <c r="HP22" s="107" t="n"/>
      <c r="HQ22" s="118">
        <f>IF(AND(functie_10&lt;&gt;"",lambda&lt;&gt;""),lambda*m_schip,"")</f>
        <v/>
      </c>
      <c r="HR22" s="118">
        <f>IF(functie_10&lt;&gt;"",lambda_functie,"")</f>
        <v/>
      </c>
      <c r="HS22" s="118">
        <f>IF(functie_10&lt;&gt;"",ONB_missie,"")</f>
        <v/>
      </c>
      <c r="HT22" s="115">
        <f>IF(Lijst_componenten="","", IF(OR(HS22=0,HS22=""),HT21, IF(HT21="",HS22,1-(1-HS22)*(1-HT21))))</f>
        <v/>
      </c>
      <c r="HU22" s="118">
        <f>IF(functie_10&lt;&gt;"",ONB_aanvang,"")</f>
        <v/>
      </c>
      <c r="HV22" s="115">
        <f>IF(Lijst_componenten="","", IF(OR(HU22=0,HU22=""),HV21, IF(HV21="",HU22,1-(1-HU22)*(1-HV21))))</f>
        <v/>
      </c>
      <c r="HW22" s="353" t="n"/>
      <c r="HX22" s="113" t="n"/>
      <c r="HY22" s="353" t="n"/>
      <c r="HZ22" s="353" t="n"/>
      <c r="IA22" s="353" t="n"/>
      <c r="IB22" s="353" t="n"/>
      <c r="IC22" s="353" t="n"/>
      <c r="ID22" s="353" t="n"/>
      <c r="IE22" s="353" t="n"/>
      <c r="IF22" s="353" t="n"/>
      <c r="IG22" s="353" t="n"/>
      <c r="IH22" s="353" t="n"/>
      <c r="II22" s="353" t="n"/>
      <c r="IJ22" s="353" t="n"/>
      <c r="IK22" s="353" t="n"/>
      <c r="IL22" s="353" t="n"/>
      <c r="IM22" s="353" t="n"/>
      <c r="IN22" s="353" t="n"/>
      <c r="IO22" s="353" t="n"/>
      <c r="IP22" s="353" t="n"/>
      <c r="IQ22" s="353" t="n"/>
      <c r="IR22" s="353" t="n"/>
      <c r="IS22" s="353" t="n"/>
      <c r="IT22" s="353" t="n"/>
      <c r="IU22" s="353" t="n"/>
      <c r="IV22" s="353" t="n"/>
    </row>
    <row r="23" ht="12" customFormat="1" customHeight="1" s="353">
      <c r="A23" s="99" t="n">
        <v>6</v>
      </c>
      <c r="B23" s="649">
        <f>N(Invoer!B43)</f>
        <v/>
      </c>
      <c r="C23" s="649">
        <f>N(Invoer!C43)</f>
        <v/>
      </c>
      <c r="D23" s="649">
        <f>N(Invoer!D43)</f>
        <v/>
      </c>
      <c r="E23" s="649">
        <f>N(Invoer!E43)</f>
        <v/>
      </c>
      <c r="F23" s="649">
        <f>N(Invoer!F43)</f>
        <v/>
      </c>
      <c r="G23" s="649">
        <f>N(Invoer!G43)</f>
        <v/>
      </c>
      <c r="H23" s="649">
        <f>N(Invoer!H43)</f>
        <v/>
      </c>
      <c r="I23" s="649">
        <f>N(Invoer!I43)</f>
        <v/>
      </c>
      <c r="J23" s="649">
        <f>N(Invoer!J43)</f>
        <v/>
      </c>
      <c r="K23" s="649">
        <f>N(Invoer!K43)</f>
        <v/>
      </c>
      <c r="L23" s="58">
        <f>IF(Invoer!L43="","",Invoer!L43)</f>
        <v/>
      </c>
      <c r="M23" s="650">
        <f>N(Invoer!M43)</f>
        <v/>
      </c>
      <c r="N23" s="58">
        <f>IF(Invoer!N43="","",Invoer!N43)</f>
        <v/>
      </c>
      <c r="O23" s="119" t="n"/>
      <c r="P23" s="96">
        <f>IF(Invoer!BK43="","",Invoer!BK43)</f>
        <v/>
      </c>
      <c r="Q23" s="96">
        <f>IF(Invoer!BL43="","",Invoer!BL43)</f>
        <v/>
      </c>
      <c r="R23" s="96">
        <f>IF(Invoer!BM43="","",Invoer!BM43)</f>
        <v/>
      </c>
      <c r="S23" s="96">
        <f>IF(Invoer!BN43="","",Invoer!BN43)</f>
        <v/>
      </c>
      <c r="T23" s="96">
        <f>IF(Invoer!BO43="","",Invoer!BO43)</f>
        <v/>
      </c>
      <c r="U23" s="96">
        <f>IF(Invoer!BP43="","",Invoer!BP43)</f>
        <v/>
      </c>
      <c r="V23" s="60" t="n"/>
      <c r="W23" s="115">
        <f>IF(Invoer!BQ43="","",Invoer!BQ43)</f>
        <v/>
      </c>
      <c r="X23" s="115">
        <f>IF(Invoer!BR43="","",Invoer!BR43)</f>
        <v/>
      </c>
      <c r="Y23" s="60" t="n"/>
      <c r="Z23" s="115">
        <f>IF(Invoer!BS43="","",Invoer!BS43)</f>
        <v/>
      </c>
      <c r="AA23" s="115">
        <f>IF(Invoer!BT43="","",Invoer!BT43)</f>
        <v/>
      </c>
      <c r="AB23" s="115">
        <f>IF(Invoer!P43="","",Invoer!P43)</f>
        <v/>
      </c>
      <c r="AC23" s="60" t="n"/>
      <c r="AD23" s="34">
        <f>IF(Invoer!Q43="","",Invoer!Q43)</f>
        <v/>
      </c>
      <c r="AE23" s="110" t="n"/>
      <c r="AF23" s="96">
        <f>IF(Invoer!R43="","",Invoer!R43)</f>
        <v/>
      </c>
      <c r="AG23" s="107" t="n"/>
      <c r="AH23" s="107" t="n"/>
      <c r="AI23" s="658">
        <f>IF(N(Invoer!S43)=0,"",Invoer!S43)</f>
        <v/>
      </c>
      <c r="AJ23" s="659">
        <f>IF(Invoer!T43="","",Invoer!T43)</f>
        <v/>
      </c>
      <c r="AK23" s="365" t="n"/>
      <c r="AL23" s="659">
        <f>IF(Invoer!U43="","",Invoer!U43)</f>
        <v/>
      </c>
      <c r="AM23" s="659">
        <f>IF(Invoer!V43="","",Invoer!V43)</f>
        <v/>
      </c>
      <c r="AN23" s="659">
        <f>IF(Invoer!W43="","",Invoer!W43)</f>
        <v/>
      </c>
      <c r="AO23" s="368" t="n"/>
      <c r="AP23" s="660">
        <f>N(Invoer!X43)</f>
        <v/>
      </c>
      <c r="AQ23" s="660">
        <f>N(Invoer!Y43)</f>
        <v/>
      </c>
      <c r="AR23" s="660">
        <f>N(Invoer!Z43)</f>
        <v/>
      </c>
      <c r="AS23" s="660">
        <f>N(Invoer!AA43)</f>
        <v/>
      </c>
      <c r="AT23" s="660">
        <f>N(Invoer!AB43)</f>
        <v/>
      </c>
      <c r="AU23" s="660">
        <f>N(Invoer!AC43)</f>
        <v/>
      </c>
      <c r="AV23" s="368" t="n"/>
      <c r="AW23" s="661">
        <f>N(Invoer!AD43)</f>
        <v/>
      </c>
      <c r="AX23" s="368" t="n"/>
      <c r="AY23" s="541">
        <f>IF(Periodiciteit&lt;&gt;"",(uurtarief_wd*(IF(ISNUMBER(tijd_wd),tijd_wd,0))+uurtarief_td*(IF(ISNUMBER(tijd_td),tijd_td,0))+uurtarief_sb*(IF(ISNUMBER(tijd_sb),tijd_sb,0))+uurtarief_rw*(IF(ISNUMBER(tijd_rw),tijd_rw,0))+uurtarief_d*(IF(ISNUMBER(tijd_d),tijd_d,0))+uurtarief_3*(IF(ISNUMBER(tijd_3),tijd_3,0)) +(IF(ISNUMBER(f_vast),f_vast,0)))*(IF(Perio_int="j",1,IF(Perio_int="m",12,IF(Perio_int="w",52,IF(Perio_int="d",365,0)))))*Periodiciteit*aantal_componenten,"")</f>
        <v/>
      </c>
      <c r="AZ23" s="368" t="n"/>
      <c r="BA23" s="542">
        <f>IF(N(Invoer!AE43)=0,"",Invoer!AE43)</f>
        <v/>
      </c>
      <c r="BB23" s="368" t="n"/>
      <c r="BC23" s="542">
        <f>IF(AND(Periodiciteit&lt;&gt;"",Kosten_res_pk&lt;&gt;""), Kosten_res_pk*(IF(Perio_int="j",1,IF(Perio_int="m",12,IF(Perio_int="w",52,IF(Perio_int="d",365,0)))))*Periodiciteit*aantal_componenten,"")</f>
        <v/>
      </c>
      <c r="BD23" s="368" t="n"/>
      <c r="BE23" s="370" t="n"/>
      <c r="BF23" s="368" t="n"/>
      <c r="BG23" s="542">
        <f>IF(Kosten_res_trade &lt;&gt;"", Kosten_res_trade, Kosten_res_jaar )</f>
        <v/>
      </c>
      <c r="BH23" s="368" t="n"/>
      <c r="BI23" s="543">
        <f>IF(N(Invoer!AF43)=0,"",Invoer!AF43)</f>
        <v/>
      </c>
      <c r="BJ23" s="368" t="n"/>
      <c r="BK23" s="543">
        <f>IF(AND(Periodiciteit&lt;&gt;"",Gevolgkosten&lt;&gt;""), Gevolgkosten*(IF(Perio_int="j",1,IF(Perio_int="m",12,IF(Perio_int="w",52,IF(Perio_int="d",365,0)))))*Periodiciteit*aantal_componenten,"")</f>
        <v/>
      </c>
      <c r="BL23" s="368" t="n"/>
      <c r="BM23" s="660">
        <f>N(Invoer!AJ43)</f>
        <v/>
      </c>
      <c r="BN23" s="662">
        <f>N(Invoer!AK43)</f>
        <v/>
      </c>
      <c r="BO23" s="662">
        <f>N(Invoer!AL43)</f>
        <v/>
      </c>
      <c r="BP23" s="662">
        <f>N(Invoer!AM43)</f>
        <v/>
      </c>
      <c r="BQ23" s="368" t="n"/>
      <c r="BR23" s="662">
        <f>N(Invoer!AN43)</f>
        <v/>
      </c>
      <c r="BS23" s="543">
        <f>IF(N(Invoer!AO43)=0,"",Invoer!AO43)</f>
        <v/>
      </c>
      <c r="BT23" s="662">
        <f>N(Invoer!AP43)</f>
        <v/>
      </c>
      <c r="BU23" s="368" t="n"/>
      <c r="BV23" s="662">
        <f>N(Invoer!AQ43)</f>
        <v/>
      </c>
      <c r="BW23" s="663">
        <f>N(Invoer!AR43)</f>
        <v/>
      </c>
      <c r="BX23" s="480" t="n"/>
      <c r="BY23" s="477" t="n"/>
      <c r="BZ23" s="107" t="n"/>
      <c r="CA23" s="64">
        <f>IF(N(Invoer!AG43)=0,"",Invoer!AG43)</f>
        <v/>
      </c>
      <c r="CB23" s="657">
        <f>N(Invoer!AH43)</f>
        <v/>
      </c>
      <c r="CC23" s="657">
        <f>N(Invoer!AI43)</f>
        <v/>
      </c>
      <c r="CD23" s="64">
        <f>IF( OR(CO_rep&lt;&gt;"",CO_verv&lt;&gt;""),IF(lambda_fabrikant&lt;&gt;"",IF(Uitvoeren_missie="N", (1-EXP(-aantal_componenten*lambda_fabrikant*Missieduur*p_gebruik_missie))/Missieduur/aantal_componenten,
IF(doorlooptijd_missie_i &lt;&gt; 0,((aantal_componenten*lambda_fabrikant*(1/doorlooptijd_missie_i)/(aantal_componenten*lambda_fabrikant+1/doorlooptijd_missie_i))*Missieduur*p_gebruik_missie+(aantal_componenten*lambda_fabrikant)^2/(aantal_componenten*lambda_fabrikant+1/doorlooptijd_missie_i)^2*(1-EXP(-(aantal_componenten*lambda_fabrikant+1/doorlooptijd_missie_i)*Missieduur*p_gebruik_missie)))/Missieduur/aantal_componenten,lambda_fabrikant*p_gebruik_missie)),""),"")</f>
        <v/>
      </c>
      <c r="CE23" s="64">
        <f>IF( OR(CO_rep&lt;&gt;"",CO_verv&lt;&gt;""),IF(lambda_fabrikant&lt;&gt;"",IF(uitvoeren_GO = "J", (1-EXP(-(aantal_componenten*lambda_fabrikant*p_gebruik_wal* interval_groot_onderhoud/8760*Missies_per_jaar*walduur)))/ (interval_groot_onderhoud/8760*Missies_per_jaar*walduur) / aantal_componenten,IF(doorlooptijd_wal_i &lt;&gt; 0,((aantal_componenten*lambda_fabrikant*(1/doorlooptijd_wal_i)/(aantal_componenten*lambda_fabrikant+1/doorlooptijd_wal_i))*walduur*p_gebruik_wal+(aantal_componenten*lambda_fabrikant)^2/(aantal_componenten*lambda_fabrikant+1/doorlooptijd_wal_i)^2*(1-EXP(-(aantal_componenten*lambda_fabrikant+1/doorlooptijd_wal_i)*walduur*p_gebruik_wal)))/walduur/aantal_componenten,lambda_fabrikant*p_gebruik_wal)),""),"")</f>
        <v/>
      </c>
      <c r="CF23" s="64">
        <f>IF( OR(CO_rep&lt;&gt;"",CO_verv&lt;&gt;""),
IF(OR(lambda_missie_g&lt;&gt;"",lambda_wal_g&lt;&gt;""), "", IF(Perio_int="j",1/8760, IF(Perio_int="m",12/8760, IF(Perio_int="w",52/8760, IF(Perio_int="d",365/8760,"error") ) ) )*Periodiciteit),"")</f>
        <v/>
      </c>
      <c r="CG23" s="66">
        <f>IF(OR(CO_rep&lt;&gt;"",CO_verv&lt;&gt;""),1,"")</f>
        <v/>
      </c>
      <c r="CH23" s="64">
        <f>IF( OR(CO_rep&lt;&gt;"",CO_verv&lt;&gt;""),IF(lambda_fabrikant="",lambda_kalendertijd*missiepercentage*8760/(Missies_per_jaar*Missieduur),""),"")</f>
        <v/>
      </c>
      <c r="CI23" s="64">
        <f>IF( OR(CO_rep&lt;&gt;"",CO_verv&lt;&gt;""),IF(lambda_fabrikant="",lambda_kalendertijd*(1-missiepercentage)*8760/(Missies_per_jaar*walduur),""),"")</f>
        <v/>
      </c>
      <c r="CJ23" s="64">
        <f>IF( OR(CO_rep&lt;&gt;"",CO_verv&lt;&gt;""),
IF(OR(lambda_missie_g&lt;&gt;"",lambda_wal_g&lt;&gt;""), (lambda_missie_g*Missieduur + lambda_wal_g*walduur)/8760*Missies_per_jaar, lambda_kalendertijd),"")</f>
        <v/>
      </c>
      <c r="CK23" s="64">
        <f>IF(lambda&lt;&gt;"",m_schip*lambda,"")</f>
        <v/>
      </c>
      <c r="CL23" s="65">
        <f>IF(OR(CO_rep&lt;&gt;"",CO_verv&lt;&gt;""),IF(Redundantie = "J","?",1),"")</f>
        <v/>
      </c>
      <c r="CM23" s="64">
        <f>IF(lambda&lt;&gt;"",IF(Redundantie="J",IF(lambda_missie_g&lt;&gt;"",lambda_missie_g*redundantie_factor,lambda_missie*redundantie_factor),IF(lambda_missie_g&lt;&gt;"",lambda_missie_g*m_schip,lambda_missie*m_schip)),"")</f>
        <v/>
      </c>
      <c r="CN23" s="64">
        <f>IF(lambda&lt;&gt;"",lambda_functie*Missieduur*Missies_per_jaar/8760,"")</f>
        <v/>
      </c>
      <c r="CO23" s="64">
        <f>IF(lambda&lt;&gt;"",IF(Redundantie="J",IF(lambda_wal_g&lt;&gt;"",lambda_wal_g*redundantie_factor,lambda_wal*redundantie_factor),IF(lambda_wal_g&lt;&gt;"",lambda_wal_g*m_schip,lambda_wal*m_schip)),"")</f>
        <v/>
      </c>
      <c r="CP23" s="64">
        <f>IF(lambda&lt;&gt;"",lambda_functie_wal*walduur*Missies_per_jaar/8760,"")</f>
        <v/>
      </c>
      <c r="CQ23" s="107" t="n"/>
      <c r="CR23" s="115">
        <f>IF(OR(CO_verv&lt;&gt;"",CO_rep&lt;&gt;""),aantal_componenten,"")</f>
        <v/>
      </c>
      <c r="CS23" s="66">
        <f>IF( OR(CO_rep&lt;&gt;"",CO_verv&lt;&gt;""),IF(Aantal_res_boord=0,1,IF(lambda_missie_g&lt;&gt;"",1-POISSON(Aantal_res_boord-1,m_schip*lambda_missie_g*Missieduur,TRUE),1-POISSON(Aantal_res_boord-1,m_schip*lambda_missie*Missieduur,TRUE))),"")</f>
        <v/>
      </c>
      <c r="CT23" s="107" t="n"/>
      <c r="CU23" s="115">
        <f>IF(OR(CO_verv&lt;&gt;"",CO_rep&lt;&gt;""),Aantal_fregatten * m_schip,"")</f>
        <v/>
      </c>
      <c r="CV23" s="65">
        <f>IF(AND(lambda&gt;0,Aantal_ini_wal&gt;=0,Aantal_res_wal&lt;&gt;""),IF(Aantal_ini_wal&gt;Aantal_res_wal,(Aantal_ini_wal-Aantal_res_wal)/(m_vloot*lambda*8760),0),"")</f>
        <v/>
      </c>
      <c r="CW23" s="65">
        <f>IF(AND(lambda&gt;0,Aantal_max_wal&gt;=0,Aantal_res_wal&lt;&gt;""),IF(Aantal_max_wal&gt;Aantal_res_wal,(Aantal_max_wal-Aantal_res_wal)/(m_vloot*lambda*8760),0),"")</f>
        <v/>
      </c>
      <c r="CX23" s="68">
        <f>IF(AND(ini_periode&lt;&gt;"",bestel_interval&lt;&gt;"",besteltijd&lt;&gt;""),IF(ini_periode&gt;=Looptijd,0,
IF(bestel_interval&gt;=(Looptijd-ini_periode),IF(besteltijd&lt;(Looptijd-ini_periode),besteltijd/8760/Looptijd,(Looptijd-ini_periode)/Looptijd),
IF(((Looptijd-ini_periode)-(INT((Looptijd-ini_periode)/(besteltijd/8760+bestel_interval))))&gt;=besteltijd/8760,(1+INT((Looptijd-ini_periode)/(besteltijd/8760+bestel_interval)))*(besteltijd/8760)/Looptijd,(INT((Looptijd-ini_periode)/(besteltijd/8760+bestel_interval))*(besteltijd/8760)+((Looptijd-ini_periode)-(INT((Looptijd-ini_periode)/(besteltijd/8760+bestel_interval)))*(besteltijd/8760+bestel_interval)))/Looptijd))),"")</f>
        <v/>
      </c>
      <c r="CY23" s="66">
        <f>IF( OR(CO_rep&lt;&gt;"",CO_verv&lt;&gt;""),
IF( Aantal_res_wal+(Aantal_fregatten-1)*Aantal_res_boord=0, 1*IF(percentage_looptijd_inbestelling&lt;&gt;"",percentage_looptijd_inbestelling,1),
(1-POISSON(Aantal_res_wal-1+(Aantal_fregatten-1)*Aantal_res_boord, m_vloot*lambda*besteltijd,TRUE))*IF(percentage_looptijd_inbestelling&lt;&gt;"",percentage_looptijd_inbestelling,1)),"")</f>
        <v/>
      </c>
      <c r="CZ23" s="66">
        <f>IF( OR(CO_rep&lt;&gt;"",CO_verv&lt;&gt;""),IF( Aantal_res_wal=0,1, 1-POISSON(Aantal_res_boord+Aantal_res_wal-1, m_vloot*lambda*besteltijd,TRUE) ),"")</f>
        <v/>
      </c>
      <c r="DA23" s="107" t="n"/>
      <c r="DB23" s="115">
        <f>IF(OR(Uitvoeren_missie&lt;&gt;"J",uitvoeren_bedrijf="J",uitvoeren_GO="J"), "",
IF(TAO_revisie&lt;&gt;"", TAO_rev_verv_tijd,
IF(TAO_vervanging&lt;&gt;"", TAO_rev_verv_tijd,
IF(PO_doorlooptijd&lt;&gt;0, PO_doorlooptijd,"" ))))</f>
        <v/>
      </c>
      <c r="DC23" s="107" t="n"/>
      <c r="DD23" s="115">
        <f>IF(AND(CO_rep&lt;&gt;"", Uitvoeren_missie="N"), Missieduur,
IF(AND(CO_rep&lt;&gt;"", Uitvoeren_missie="J"), CO_zoektijd + CO_rep_verv_tijd,""))</f>
        <v/>
      </c>
      <c r="DE23" s="115">
        <f>IF(AND(CO_verv&lt;&gt;"", Uitvoeren_missie="N"), Missieduur,
IF(AND(CO_verv&lt;&gt;"", Uitvoeren_missie="J"), CO_zoektijd + CO_rep_verv_tijd,""))</f>
        <v/>
      </c>
      <c r="DF23" s="115">
        <f>IF(AND(CO_verv&lt;&gt;"", Uitvoeren_missie="N"), Missieduur,
IF(AND(CO_verv&lt;&gt;"", Uitvoeren_missie="J"), wachttijd_invlieg+CO_zoektijd + CO_rep_verv_tijd,""))</f>
        <v/>
      </c>
      <c r="DG23" s="115">
        <f>IF(AND(CO_verv&lt;&gt;"", Uitvoeren_missie="N"), Missieduur,
IF(AND(CO_verv&lt;&gt;"", Uitvoeren_missie="J"), besteltijd + wachttijd_invlieg + CO_zoektijd + CO_rep_verv_tijd,""))</f>
        <v/>
      </c>
      <c r="DH23" s="115">
        <f> IF(AND(doorlooptijd_missie_met&lt;&gt;"",CO_verv&lt;&gt;""), P_op_boord* ( P_op_vloot*doorlooptijd_missie_zonder + (1-P_op_vloot)*doorlooptijd_invlieg ) + (1-P_op_boord)* doorlooptijd_missie_met, "")</f>
        <v/>
      </c>
      <c r="DI23" s="115">
        <f>IF(CO_rep&lt;&gt;"",doorlooptijd_missie_rep,IF(AND(CO_verv&lt;&gt;"",Aantal_res_boord&lt;&gt;"",Aantal_res_boord&lt;&gt;0),doorlooptijd_missie_met,IF(AND(CO_verv&lt;&gt;"",Aantal_max_wal&lt;&gt;"",Aantal_max_wal&lt;&gt;0),doorlooptijd_invlieg,doorlooptijd_missie_zonder)))</f>
        <v/>
      </c>
      <c r="DJ23" s="115">
        <f>IF(doorlooptijd_missie_verv&lt;&gt;"", doorlooptijd_missie_verv, IF(doorlooptijd_missie_rep&lt;&gt;"", doorlooptijd_missie_rep,""))</f>
        <v/>
      </c>
      <c r="DK23" s="107" t="n"/>
      <c r="DL23" s="115">
        <f> IF(CO_rep&lt;&gt;"", CO_zoektijd + CO_rep_verv_tijd,"")</f>
        <v/>
      </c>
      <c r="DM23" s="115">
        <f> IF(AND(CO_verv&lt;&gt;"",CO_rep=""), wachttijd_wal+CO_zoektijd + CO_rep_verv_tijd,"")</f>
        <v/>
      </c>
      <c r="DN23" s="115">
        <f> IF(AND(CO_verv&lt;&gt;"",CO_rep=""), wachttijd_invlieg+CO_zoektijd + CO_rep_verv_tijd,"")</f>
        <v/>
      </c>
      <c r="DO23" s="115">
        <f>IF(AND(CO_verv&lt;&gt;"",CO_rep=""), besteltijd + wachttijd_wal + CO_zoektijd + CO_rep_verv_tijd,"")</f>
        <v/>
      </c>
      <c r="DP23" s="69">
        <f> IF(AND(doorlooptijd_van_wal&lt;&gt;"",CO_verv&lt;&gt;""), P_op_vloot*doorlooptijd_wal_zonder +
(1-P_op_vloot)*(P_op_wal*Doorlooptijd_transport+ (1-P_op_wal)*doorlooptijd_van_wal ), "")</f>
        <v/>
      </c>
      <c r="DQ23" s="115">
        <f>IF(CO_rep&lt;&gt;"",doorlooptijd_wal_rep,IF(AND(CO_verv&lt;&gt;"",AND(Aantal_res_boord&lt;&gt;"",Aantal_res_boord&lt;&gt;0)),doorlooptijd_van_wal,IF(AND(CO_verv&lt;&gt;"",AND(Aantal_max_wal&lt;&gt;"",Aantal_max_wal&lt;&gt;0)),Doorlooptijd_transport,doorlooptijd_wal_zonder)))</f>
        <v/>
      </c>
      <c r="DR23" s="115">
        <f>IF(doorlooptijd_wal_verv&lt;&gt;"", doorlooptijd_wal_verv, IF(doorlooptijd_wal_rep&lt;&gt;"", doorlooptijd_wal_rep,""))</f>
        <v/>
      </c>
      <c r="DS23" s="107" t="n"/>
      <c r="DT23" s="64">
        <f>IF(OR(CO_verv&lt;&gt;"",CO_rep&lt;&gt;""),IF(lambda_functie&lt;&gt;"",ONB_missie_tussenberekening_1 + ONB_missie_tussenberekening_2,""),"")</f>
        <v/>
      </c>
      <c r="DU23" s="64">
        <f>IF(OR(CO_rep&lt;&gt;"",CO_verv&lt;&gt;""),IF(lambda_functie&lt;&gt;"",IF(Uitvoeren_missie="N",1-(1-EXP(-lambda_functie*Missieduur))/(lambda_functie*Missieduur),IF(CO_verv&lt;&gt;"",
(1-P_op_boord)*IF(doorlooptijd_missie_met&lt;&gt;0,lambda_functie/(lambda_functie+(1/doorlooptijd_missie_met))-lambda_functie/((lambda_functie+(1/doorlooptijd_missie_met))^2*Missieduur)*(1-EXP(-(lambda_functie+(1/doorlooptijd_missie_met))*Missieduur)),0)+P_op_boord*((1-P_op_vloot)*IF(doorlooptijd_invlieg&lt;&gt;0,lambda_functie/(lambda_functie+(1 /doorlooptijd_invlieg))-lambda_functie/((lambda_functie+(1/doorlooptijd_invlieg))^2*Missieduur)*(1-EXP(-(lambda_functie+(1/doorlooptijd_invlieg))*Missieduur)),0)+P_op_vloot*IF(doorlooptijd_missie_zonder&lt;&gt;0,lambda_functie/(lambda_functie+(1/doorlooptijd_missie_zonder))-lambda_functie/((lambda_functie+(1/doorlooptijd_missie_zonder))^2*Missieduur)*(1-EXP(-(lambda_functie+(1/doorlooptijd_missie_zonder))*Missieduur)),0)),0)),0),"")</f>
        <v/>
      </c>
      <c r="DV23" s="64">
        <f>IF(OR(CO_rep&lt;&gt;"",CO_verv&lt;&gt;""),IF(lambda_functie&lt;&gt;"",IF(CO_rep&lt;&gt;"",
IF(doorlooptijd_missie_rep&lt;&gt;0,lambda_functie/(lambda_functie+(1/doorlooptijd_missie_rep))-lambda_functie/((lambda_functie+(1/doorlooptijd_missie_rep))^2*Missieduur)*(1-EXP(-(lambda_functie+(1/doorlooptijd_missie_rep))*Missieduur)),0),0)),"")</f>
        <v/>
      </c>
      <c r="DW23" s="66">
        <f>IF(ONB_missie="","",IF(tot_ONB_missie&lt;&gt;0,ONB_missie/tot_ONB_missie,0))</f>
        <v/>
      </c>
      <c r="DX23" s="115">
        <f>IF(Lijst_componenten="","", IF(OR(DT23=0,DT23=""),DX22, IF(DX22="",DT23,1-(1-DT23)*(1-DX22))))</f>
        <v/>
      </c>
      <c r="DY23" s="107" t="n"/>
      <c r="DZ23" s="96">
        <f>IF(OR(CO_rep&lt;&gt;"",CO_verv&lt;&gt;""),IF(uitvoeren_GO="J",ONB_tussenberekening_1,IF(CO_rep&lt;&gt;"",ONB_tussenberekening_2,ONB_tussenberekening_3+ONB_tussenberekening_4+ONB_tussenberekening_5)),"")</f>
        <v/>
      </c>
      <c r="EA23" s="96">
        <f>IF(OR(CO_rep&lt;&gt;"",CO_verv&lt;&gt;""),IF(AND(OR(lambda_functie_kalendertijd&lt;&gt;"",lambda_functie_wal_kalendertijd&lt;&gt;""),uitvoeren_GO="J"),
1-(1-EXP(-(lambda_functie_kalendertijd+lambda_functie_wal_kalendertijd)*interval_groot_onderhoud))
/((lambda_functie_kalendertijd+lambda_functie_wal_kalendertijd)*interval_groot_onderhoud),0),"")</f>
        <v/>
      </c>
      <c r="EB23" s="96">
        <f>IF(OR(CO_rep&lt;&gt;"",CO_verv&lt;&gt;""),IF(AND(CO_rep &lt;&gt;"",OR(doorlooptijd_missie_rep&gt;=walduur,doorlooptijd_wal_rep &gt;= walduur)),IF(doorlooptijd_missie_rep &gt;= walduur,lambda_functie_kalendertijd / (lambda_functie_kalendertijd + 1/doorlooptijd_missie_rep),0)
+ IF(doorlooptijd_wal_rep &gt;= walduur,lambda_functie_wal_kalendertijd / (lambda_functie_wal_kalendertijd + 1/doorlooptijd_wal_rep),0),IF(CO_rep &lt;&gt; "",(1 -EXP(-(lambda_functie_wal_kalendertijd + 1 / doorlooptijd_wal_rep)*walduur))
* lambda_functie_wal_kalendertijd / (lambda_functie_wal_kalendertijd + 1/ doorlooptijd_wal_rep),0)),"")</f>
        <v/>
      </c>
      <c r="EC23" s="96">
        <f>IF(OR(CO_rep&lt;&gt;"",CO_verv&lt;&gt;""),IF(CO_verv&lt;&gt;"",
P_op_boord* ( P_op_vloot*IF(doorlooptijd_missie_zonder&gt;=walduur, lambda_functie_kalendertijd / (lambda_functie_kalendertijd + 1/doorlooptijd_missie_zonder),0)+ (1- P_op_vloot)*IF(doorlooptijd_invlieg&gt;=walduur, lambda_functie_kalendertijd / (lambda_functie_kalendertijd + 1 /doorlooptijd_invlieg),0) )
+ (1- P_op_boord) * IF(doorlooptijd_missie_met&gt;=walduur,lambda_functie_kalendertijd / (lambda_functie_kalendertijd + 1 / doorlooptijd_missie_met),0),0),"")</f>
        <v/>
      </c>
      <c r="ED23" s="96">
        <f>IF(OR(CO_rep&lt;&gt;"",CO_verv&lt;&gt;""),IF(CO_verv &lt;&gt;"",
(1-P_op_vloot)*((1 - P_op_wal)*IF(doorlooptijd_van_wal&gt;=walduur,lambda_functie_wal_kalendertijd/(lambda_functie_wal_kalendertijd+ 1/ doorlooptijd_van_wal),0)
+ P_op_wal*IF(Doorlooptijd_transport&gt;=walduur,lambda_functie_wal_kalendertijd / (lambda_functie_wal_kalendertijd +1/Doorlooptijd_transport),0) )+ P_op_vloot*IF(doorlooptijd_wal_zonder&gt;=walduur, lambda_functie_wal_kalendertijd / (lambda_functie_wal_kalendertijd + 1/ doorlooptijd_wal_zonder),0),0),"")</f>
        <v/>
      </c>
      <c r="EE23" s="96">
        <f>IF(OR(CO_rep&lt;&gt;"",CO_verv&lt;&gt;""),IF(CO_verv &lt;&gt;"",
(1-P_op_vloot)* ( (1- P_op_wal)* (IF(AND(doorlooptijd_van_wal&lt;&gt;0,doorlooptijd_van_wal&lt;walduur),(1 -EXP(-(lambda_functie_wal_kalendertijd + 1 / doorlooptijd_van_wal)*walduur))
* lambda_functie_wal_kalendertijd / (lambda_functie_wal_kalendertijd + 1/ doorlooptijd_van_wal),0))
+ P_op_wal*(IF(AND(Doorlooptijd_transport&lt;&gt;0,Doorlooptijd_transport&lt;walduur),(1 -EXP(-(lambda_functie_wal_kalendertijd + 1 / Doorlooptijd_transport)*walduur))
* lambda_functie_wal_kalendertijd /(lambda_functie_wal_kalendertijd + 1/ Doorlooptijd_transport),0)))
+ P_op_vloot*(IF(AND(doorlooptijd_wal_zonder&lt;&gt;0,doorlooptijd_wal_zonder&lt;walduur),(1 -EXP(-(lambda_functie_wal_kalendertijd + 1 / doorlooptijd_wal_zonder)*walduur))
* lambda_functie_wal_kalendertijd / (lambda_functie_wal_kalendertijd + 1/ doorlooptijd_wal_zonder),0)),0),"")</f>
        <v/>
      </c>
      <c r="EF23" s="66">
        <f>IF(ONB_aanvang="","",IF(tot_ONB_aanvang&lt;&gt;0,ONB_aanvang/tot_ONB_aanvang,0))</f>
        <v/>
      </c>
      <c r="EG23" s="115">
        <f>IF(Lijst_componenten="","", IF(OR(DZ23=0,DZ23=""),EG22, IF(EG22="",DZ23,1-(1-DZ23)*(1-EG22))))</f>
        <v/>
      </c>
      <c r="EH23" s="107" t="n"/>
      <c r="EI23" s="40">
        <f>IF(Invoer!BE43="","",Invoer!BE43)</f>
        <v/>
      </c>
      <c r="EJ23" s="71" t="n"/>
      <c r="EK23" s="120" t="n"/>
      <c r="EL23" s="119" t="n"/>
      <c r="EM23" s="107" t="n"/>
      <c r="EN23" s="72" t="n"/>
      <c r="EO23" s="107" t="n"/>
      <c r="EP23" s="107" t="n"/>
      <c r="EQ23" s="119" t="n"/>
      <c r="ER23" s="120" t="n"/>
      <c r="ES23" s="119" t="n"/>
      <c r="ET23" s="119" t="n"/>
      <c r="EU23" s="115">
        <f>IF(Invoer!AS43="","",Invoer!AS43)</f>
        <v/>
      </c>
      <c r="EV23" s="115">
        <f>IF(Invoer!AT43="","",Invoer!AT43)</f>
        <v/>
      </c>
      <c r="EW23" s="115">
        <f>IF(Invoer!AU43="","",Invoer!AU43)</f>
        <v/>
      </c>
      <c r="EX23" s="115">
        <f>IF(Invoer!AV43="","",Invoer!AV43)</f>
        <v/>
      </c>
      <c r="EY23" s="115">
        <f>IF(Invoer!AW43="","",Invoer!AW43)</f>
        <v/>
      </c>
      <c r="EZ23" s="115">
        <f>IF(Invoer!AX43="","",Invoer!AX43)</f>
        <v/>
      </c>
      <c r="FA23" s="115">
        <f>IF(Invoer!AY43="","",Invoer!AY43)</f>
        <v/>
      </c>
      <c r="FB23" s="115">
        <f>IF(Invoer!AZ43="","",Invoer!AZ43)</f>
        <v/>
      </c>
      <c r="FC23" s="115">
        <f>IF(Invoer!BA43="","",Invoer!BA43)</f>
        <v/>
      </c>
      <c r="FD23" s="115">
        <f>IF(Invoer!BB43="","",Invoer!BB43)</f>
        <v/>
      </c>
      <c r="FE23" s="348" t="n"/>
      <c r="FF23" s="118">
        <f>IF(AND(functie_1&lt;&gt;"",lambda&lt;&gt;""),lambda*m_schip,"")</f>
        <v/>
      </c>
      <c r="FG23" s="118">
        <f>IF(functie_1&lt;&gt;"",lambda_functie,"")</f>
        <v/>
      </c>
      <c r="FH23" s="118">
        <f>IF(functie_1&lt;&gt;"",ONB_missie,"")</f>
        <v/>
      </c>
      <c r="FI23" s="115">
        <f>IF(Lijst_componenten="","", IF(OR(FH23=0,FH23=""),FI22, IF(FI22="",FH23,1-(1-FH23)*(1-FI22))))</f>
        <v/>
      </c>
      <c r="FJ23" s="118">
        <f>IF(functie_1&lt;&gt;"",ONB_aanvang,"")</f>
        <v/>
      </c>
      <c r="FK23" s="115">
        <f>IF(Lijst_componenten="","", IF(OR(FJ23=0,FJ23=""),FK22, IF(FK22="",FJ23,1-(1-FJ23)*(1-FK22))))</f>
        <v/>
      </c>
      <c r="FL23" s="107" t="n"/>
      <c r="FM23" s="118">
        <f>IF(AND(functie_2&lt;&gt;"",lambda&lt;&gt;""),lambda*m_schip,"")</f>
        <v/>
      </c>
      <c r="FN23" s="118">
        <f>IF(functie_2&lt;&gt;"",lambda_functie,"")</f>
        <v/>
      </c>
      <c r="FO23" s="118">
        <f>IF(functie_2&lt;&gt;"",ONB_missie,"")</f>
        <v/>
      </c>
      <c r="FP23" s="115">
        <f>IF(Lijst_componenten="","", IF(OR(FO23=0,FO23=""),FP22, IF(FP22="",FO23,1-(1-FO23)*(1-FP22))))</f>
        <v/>
      </c>
      <c r="FQ23" s="118">
        <f>IF(functie_2&lt;&gt;"",ONB_aanvang,"")</f>
        <v/>
      </c>
      <c r="FR23" s="115">
        <f>IF(Lijst_componenten="","", IF(OR(FQ23=0,FQ23=""),FR22, IF(FR22="",FQ23,1-(1-FQ23)*(1-FR22))))</f>
        <v/>
      </c>
      <c r="FS23" s="107" t="n"/>
      <c r="FT23" s="118">
        <f>IF(AND(functie_3&lt;&gt;"",lambda&lt;&gt;""),lambda*m_schip,"")</f>
        <v/>
      </c>
      <c r="FU23" s="118">
        <f>IF(functie_3&lt;&gt;"",lambda_functie,"")</f>
        <v/>
      </c>
      <c r="FV23" s="118">
        <f>IF(functie_3&lt;&gt;"",ONB_missie,"")</f>
        <v/>
      </c>
      <c r="FW23" s="115">
        <f>IF(Lijst_componenten="","", IF(OR(FV23=0,FV23=""),FW22, IF(FW22="",FV23,1-(1-FV23)*(1-FW22))))</f>
        <v/>
      </c>
      <c r="FX23" s="118">
        <f>IF(functie_3&lt;&gt;"",ONB_aanvang,"")</f>
        <v/>
      </c>
      <c r="FY23" s="115">
        <f>IF(Lijst_componenten="","", IF(OR(FX23=0,FX23=""),FY22, IF(FY22="",FX23,1-(1-FX23)*(1-FY22))))</f>
        <v/>
      </c>
      <c r="FZ23" s="107" t="n"/>
      <c r="GA23" s="118">
        <f>IF(AND(functie_4&lt;&gt;"",lambda&lt;&gt;""),lambda*m_schip,"")</f>
        <v/>
      </c>
      <c r="GB23" s="118">
        <f>IF(functie_4&lt;&gt;"",lambda_functie,"")</f>
        <v/>
      </c>
      <c r="GC23" s="118">
        <f>IF(functie_4&lt;&gt;"",ONB_missie,"")</f>
        <v/>
      </c>
      <c r="GD23" s="115">
        <f>IF(Lijst_componenten="","", IF(OR(GC23=0,GC23=""),GD22, IF(GD22="",GC23,1-(1-GC23)*(1-GD22))))</f>
        <v/>
      </c>
      <c r="GE23" s="118">
        <f>IF(functie_4&lt;&gt;"",ONB_aanvang,"")</f>
        <v/>
      </c>
      <c r="GF23" s="115">
        <f>IF(Lijst_componenten="","", IF(OR(GE23=0,GE23=""),GF22, IF(GF22="",GE23,1-(1-GE23)*(1-GF22))))</f>
        <v/>
      </c>
      <c r="GG23" s="107" t="n"/>
      <c r="GH23" s="118">
        <f>IF(AND(functie_5&lt;&gt;"",lambda&lt;&gt;""),lambda*m_schip,"")</f>
        <v/>
      </c>
      <c r="GI23" s="118">
        <f>IF(functie_5&lt;&gt;"",lambda_functie,"")</f>
        <v/>
      </c>
      <c r="GJ23" s="118">
        <f>IF(functie_5&lt;&gt;"",ONB_missie,"")</f>
        <v/>
      </c>
      <c r="GK23" s="115">
        <f>IF(Lijst_componenten="","", IF(OR(GJ23=0,GJ23=""),GK22, IF(GK22="",GJ23,1-(1-GJ23)*(1-GK22))))</f>
        <v/>
      </c>
      <c r="GL23" s="118">
        <f>IF(functie_5&lt;&gt;"",ONB_aanvang,"")</f>
        <v/>
      </c>
      <c r="GM23" s="115">
        <f>IF(Lijst_componenten="","", IF(OR(GL23=0,GL23=""),GM22, IF(GM22="",GL23,1-(1-GL23)*(1-GM22))))</f>
        <v/>
      </c>
      <c r="GN23" s="107" t="n"/>
      <c r="GO23" s="118">
        <f>IF(AND(functie_6&lt;&gt;"",lambda&lt;&gt;""),lambda*m_schip,"")</f>
        <v/>
      </c>
      <c r="GP23" s="118">
        <f>IF(functie_6&lt;&gt;"",lambda_functie,"")</f>
        <v/>
      </c>
      <c r="GQ23" s="118">
        <f>IF(functie_6&lt;&gt;"",ONB_missie,"")</f>
        <v/>
      </c>
      <c r="GR23" s="115">
        <f>IF(Lijst_componenten="","", IF(OR(GQ23=0,GQ23=""),GR22, IF(GR22="",GQ23,1-(1-GQ23)*(1-GR22))))</f>
        <v/>
      </c>
      <c r="GS23" s="118">
        <f>IF(functie_6&lt;&gt;"",ONB_aanvang,"")</f>
        <v/>
      </c>
      <c r="GT23" s="115">
        <f>IF(Lijst_componenten="","", IF(OR(GS23=0,GS23=""),GT22, IF(GT22="",GS23,1-(1-GS23)*(1-GT22))))</f>
        <v/>
      </c>
      <c r="GU23" s="107" t="n"/>
      <c r="GV23" s="118">
        <f>IF(AND(functie_7&lt;&gt;"",lambda&lt;&gt;""),lambda*m_schip,"")</f>
        <v/>
      </c>
      <c r="GW23" s="118">
        <f>IF(functie_7&lt;&gt;"",lambda_functie,"")</f>
        <v/>
      </c>
      <c r="GX23" s="118">
        <f>IF(functie_7&lt;&gt;"",ONB_missie,"")</f>
        <v/>
      </c>
      <c r="GY23" s="115">
        <f>IF(Lijst_componenten="","", IF(OR(GX23=0,GX23=""),GY22, IF(GY22="",GX23,1-(1-GX23)*(1-GY22))))</f>
        <v/>
      </c>
      <c r="GZ23" s="118">
        <f>IF(functie_7&lt;&gt;"",ONB_aanvang,"")</f>
        <v/>
      </c>
      <c r="HA23" s="115">
        <f>IF(Lijst_componenten="","", IF(OR(GZ23=0,GZ23=""),HA22, IF(HA22="",GZ23,1-(1-GZ23)*(1-HA22))))</f>
        <v/>
      </c>
      <c r="HB23" s="107" t="n"/>
      <c r="HC23" s="118">
        <f>IF(AND(functie_8&lt;&gt;"",lambda&lt;&gt;""),lambda*m_schip,"")</f>
        <v/>
      </c>
      <c r="HD23" s="118">
        <f>IF(functie_8&lt;&gt;"",lambda_functie,"")</f>
        <v/>
      </c>
      <c r="HE23" s="118">
        <f>IF(functie_8&lt;&gt;"",ONB_missie,"")</f>
        <v/>
      </c>
      <c r="HF23" s="115">
        <f>IF(Lijst_componenten="","", IF(OR(HE23=0,HE23=""),HF22, IF(HF22="",HE23,1-(1-HE23)*(1-HF22))))</f>
        <v/>
      </c>
      <c r="HG23" s="118">
        <f>IF(functie_8&lt;&gt;"",ONB_aanvang,"")</f>
        <v/>
      </c>
      <c r="HH23" s="115">
        <f>IF(Lijst_componenten="","", IF(OR(HG23=0,HG23=""),HH22, IF(HH22="",HG23,1-(1-HG23)*(1-HH22))))</f>
        <v/>
      </c>
      <c r="HI23" s="107" t="n"/>
      <c r="HJ23" s="118">
        <f>IF(AND(functie_9&lt;&gt;"",lambda&lt;&gt;""),lambda*m_schip,"")</f>
        <v/>
      </c>
      <c r="HK23" s="118">
        <f>IF(functie_9&lt;&gt;"",lambda_functie,"")</f>
        <v/>
      </c>
      <c r="HL23" s="118">
        <f>IF(functie_9&lt;&gt;"",ONB_missie,"")</f>
        <v/>
      </c>
      <c r="HM23" s="115">
        <f>IF(Lijst_componenten="","", IF(OR(HL23=0,HL23=""),HM22, IF(HM22="",HL23,1-(1-HL23)*(1-HM22))))</f>
        <v/>
      </c>
      <c r="HN23" s="118">
        <f>IF(functie_9&lt;&gt;"",ONB_aanvang,"")</f>
        <v/>
      </c>
      <c r="HO23" s="115">
        <f>IF(Lijst_componenten="","", IF(OR(HN23=0,HN23=""),HO22, IF(HO22="",HN23,1-(1-HN23)*(1-HO22))))</f>
        <v/>
      </c>
      <c r="HP23" s="107" t="n"/>
      <c r="HQ23" s="118">
        <f>IF(AND(functie_10&lt;&gt;"",lambda&lt;&gt;""),lambda*m_schip,"")</f>
        <v/>
      </c>
      <c r="HR23" s="118">
        <f>IF(functie_10&lt;&gt;"",lambda_functie,"")</f>
        <v/>
      </c>
      <c r="HS23" s="118">
        <f>IF(functie_10&lt;&gt;"",ONB_missie,"")</f>
        <v/>
      </c>
      <c r="HT23" s="115">
        <f>IF(Lijst_componenten="","", IF(OR(HS23=0,HS23=""),HT22, IF(HT22="",HS23,1-(1-HS23)*(1-HT22))))</f>
        <v/>
      </c>
      <c r="HU23" s="118">
        <f>IF(functie_10&lt;&gt;"",ONB_aanvang,"")</f>
        <v/>
      </c>
      <c r="HV23" s="115">
        <f>IF(Lijst_componenten="","", IF(OR(HU23=0,HU23=""),HV22, IF(HV22="",HU23,1-(1-HU23)*(1-HV22))))</f>
        <v/>
      </c>
      <c r="HW23" s="353" t="n"/>
      <c r="HX23" s="113" t="n"/>
      <c r="HY23" s="353" t="n"/>
      <c r="HZ23" s="353" t="n"/>
      <c r="IA23" s="353" t="n"/>
      <c r="IB23" s="353" t="n"/>
      <c r="IC23" s="353" t="n"/>
      <c r="ID23" s="353" t="n"/>
      <c r="IE23" s="353" t="n"/>
      <c r="IF23" s="353" t="n"/>
      <c r="IG23" s="353" t="n"/>
      <c r="IH23" s="353" t="n"/>
      <c r="II23" s="353" t="n"/>
      <c r="IJ23" s="353" t="n"/>
      <c r="IK23" s="353" t="n"/>
      <c r="IL23" s="353" t="n"/>
      <c r="IM23" s="353" t="n"/>
      <c r="IN23" s="353" t="n"/>
      <c r="IO23" s="353" t="n"/>
      <c r="IP23" s="353" t="n"/>
      <c r="IQ23" s="353" t="n"/>
      <c r="IR23" s="353" t="n"/>
      <c r="IS23" s="353" t="n"/>
      <c r="IT23" s="353" t="n"/>
      <c r="IU23" s="353" t="n"/>
      <c r="IV23" s="353" t="n"/>
    </row>
    <row r="24" ht="12" customFormat="1" customHeight="1" s="353">
      <c r="A24" s="99" t="n">
        <v>7</v>
      </c>
      <c r="B24" s="649">
        <f>N(Invoer!B44)</f>
        <v/>
      </c>
      <c r="C24" s="649">
        <f>N(Invoer!C44)</f>
        <v/>
      </c>
      <c r="D24" s="649">
        <f>N(Invoer!D44)</f>
        <v/>
      </c>
      <c r="E24" s="649">
        <f>N(Invoer!E44)</f>
        <v/>
      </c>
      <c r="F24" s="649">
        <f>N(Invoer!F44)</f>
        <v/>
      </c>
      <c r="G24" s="649">
        <f>N(Invoer!G44)</f>
        <v/>
      </c>
      <c r="H24" s="649">
        <f>N(Invoer!H44)</f>
        <v/>
      </c>
      <c r="I24" s="649">
        <f>N(Invoer!I44)</f>
        <v/>
      </c>
      <c r="J24" s="649">
        <f>N(Invoer!J44)</f>
        <v/>
      </c>
      <c r="K24" s="649">
        <f>N(Invoer!K44)</f>
        <v/>
      </c>
      <c r="L24" s="58">
        <f>IF(Invoer!L44="","",Invoer!L44)</f>
        <v/>
      </c>
      <c r="M24" s="650">
        <f>N(Invoer!M44)</f>
        <v/>
      </c>
      <c r="N24" s="58">
        <f>IF(Invoer!N44="","",Invoer!N44)</f>
        <v/>
      </c>
      <c r="O24" s="119" t="n"/>
      <c r="P24" s="96">
        <f>IF(Invoer!BK44="","",Invoer!BK44)</f>
        <v/>
      </c>
      <c r="Q24" s="96">
        <f>IF(Invoer!BL44="","",Invoer!BL44)</f>
        <v/>
      </c>
      <c r="R24" s="96">
        <f>IF(Invoer!BM44="","",Invoer!BM44)</f>
        <v/>
      </c>
      <c r="S24" s="96">
        <f>IF(Invoer!BN44="","",Invoer!BN44)</f>
        <v/>
      </c>
      <c r="T24" s="96">
        <f>IF(Invoer!BO44="","",Invoer!BO44)</f>
        <v/>
      </c>
      <c r="U24" s="96">
        <f>IF(Invoer!BP44="","",Invoer!BP44)</f>
        <v/>
      </c>
      <c r="V24" s="60" t="n"/>
      <c r="W24" s="115">
        <f>IF(Invoer!BQ44="","",Invoer!BQ44)</f>
        <v/>
      </c>
      <c r="X24" s="115">
        <f>IF(Invoer!BR44="","",Invoer!BR44)</f>
        <v/>
      </c>
      <c r="Y24" s="60" t="n"/>
      <c r="Z24" s="115">
        <f>IF(Invoer!BS44="","",Invoer!BS44)</f>
        <v/>
      </c>
      <c r="AA24" s="115">
        <f>IF(Invoer!BT44="","",Invoer!BT44)</f>
        <v/>
      </c>
      <c r="AB24" s="115">
        <f>IF(Invoer!P44="","",Invoer!P44)</f>
        <v/>
      </c>
      <c r="AC24" s="60" t="n"/>
      <c r="AD24" s="34">
        <f>IF(Invoer!Q44="","",Invoer!Q44)</f>
        <v/>
      </c>
      <c r="AE24" s="110" t="n"/>
      <c r="AF24" s="96">
        <f>IF(Invoer!R44="","",Invoer!R44)</f>
        <v/>
      </c>
      <c r="AG24" s="107" t="n"/>
      <c r="AH24" s="107" t="n"/>
      <c r="AI24" s="658">
        <f>IF(N(Invoer!S44)=0,"",Invoer!S44)</f>
        <v/>
      </c>
      <c r="AJ24" s="659">
        <f>IF(Invoer!T44="","",Invoer!T44)</f>
        <v/>
      </c>
      <c r="AK24" s="365" t="n"/>
      <c r="AL24" s="659">
        <f>IF(Invoer!U44="","",Invoer!U44)</f>
        <v/>
      </c>
      <c r="AM24" s="659">
        <f>IF(Invoer!V44="","",Invoer!V44)</f>
        <v/>
      </c>
      <c r="AN24" s="659">
        <f>IF(Invoer!W44="","",Invoer!W44)</f>
        <v/>
      </c>
      <c r="AO24" s="368" t="n"/>
      <c r="AP24" s="660">
        <f>N(Invoer!X44)</f>
        <v/>
      </c>
      <c r="AQ24" s="660">
        <f>N(Invoer!Y44)</f>
        <v/>
      </c>
      <c r="AR24" s="660">
        <f>N(Invoer!Z44)</f>
        <v/>
      </c>
      <c r="AS24" s="660">
        <f>N(Invoer!AA44)</f>
        <v/>
      </c>
      <c r="AT24" s="660">
        <f>N(Invoer!AB44)</f>
        <v/>
      </c>
      <c r="AU24" s="660">
        <f>N(Invoer!AC44)</f>
        <v/>
      </c>
      <c r="AV24" s="368" t="n"/>
      <c r="AW24" s="661">
        <f>N(Invoer!AD44)</f>
        <v/>
      </c>
      <c r="AX24" s="368" t="n"/>
      <c r="AY24" s="541">
        <f>IF(Periodiciteit&lt;&gt;"",(uurtarief_wd*(IF(ISNUMBER(tijd_wd),tijd_wd,0))+uurtarief_td*(IF(ISNUMBER(tijd_td),tijd_td,0))+uurtarief_sb*(IF(ISNUMBER(tijd_sb),tijd_sb,0))+uurtarief_rw*(IF(ISNUMBER(tijd_rw),tijd_rw,0))+uurtarief_d*(IF(ISNUMBER(tijd_d),tijd_d,0))+uurtarief_3*(IF(ISNUMBER(tijd_3),tijd_3,0)) +(IF(ISNUMBER(f_vast),f_vast,0)))*(IF(Perio_int="j",1,IF(Perio_int="m",12,IF(Perio_int="w",52,IF(Perio_int="d",365,0)))))*Periodiciteit*aantal_componenten,"")</f>
        <v/>
      </c>
      <c r="AZ24" s="368" t="n"/>
      <c r="BA24" s="542">
        <f>IF(N(Invoer!AE44)=0,"",Invoer!AE44)</f>
        <v/>
      </c>
      <c r="BB24" s="368" t="n"/>
      <c r="BC24" s="542">
        <f>IF(AND(Periodiciteit&lt;&gt;"",Kosten_res_pk&lt;&gt;""), Kosten_res_pk*(IF(Perio_int="j",1,IF(Perio_int="m",12,IF(Perio_int="w",52,IF(Perio_int="d",365,0)))))*Periodiciteit*aantal_componenten,"")</f>
        <v/>
      </c>
      <c r="BD24" s="368" t="n"/>
      <c r="BE24" s="370" t="n"/>
      <c r="BF24" s="368" t="n"/>
      <c r="BG24" s="542">
        <f>IF(Kosten_res_trade &lt;&gt;"", Kosten_res_trade, Kosten_res_jaar )</f>
        <v/>
      </c>
      <c r="BH24" s="368" t="n"/>
      <c r="BI24" s="543">
        <f>IF(N(Invoer!AF44)=0,"",Invoer!AF44)</f>
        <v/>
      </c>
      <c r="BJ24" s="368" t="n"/>
      <c r="BK24" s="543">
        <f>IF(AND(Periodiciteit&lt;&gt;"",Gevolgkosten&lt;&gt;""), Gevolgkosten*(IF(Perio_int="j",1,IF(Perio_int="m",12,IF(Perio_int="w",52,IF(Perio_int="d",365,0)))))*Periodiciteit*aantal_componenten,"")</f>
        <v/>
      </c>
      <c r="BL24" s="368" t="n"/>
      <c r="BM24" s="660">
        <f>N(Invoer!AJ44)</f>
        <v/>
      </c>
      <c r="BN24" s="662">
        <f>N(Invoer!AK44)</f>
        <v/>
      </c>
      <c r="BO24" s="662">
        <f>N(Invoer!AL44)</f>
        <v/>
      </c>
      <c r="BP24" s="662">
        <f>N(Invoer!AM44)</f>
        <v/>
      </c>
      <c r="BQ24" s="368" t="n"/>
      <c r="BR24" s="662">
        <f>N(Invoer!AN44)</f>
        <v/>
      </c>
      <c r="BS24" s="543">
        <f>IF(N(Invoer!AO44)=0,"",Invoer!AO44)</f>
        <v/>
      </c>
      <c r="BT24" s="662">
        <f>N(Invoer!AP44)</f>
        <v/>
      </c>
      <c r="BU24" s="368" t="n"/>
      <c r="BV24" s="662">
        <f>N(Invoer!AQ44)</f>
        <v/>
      </c>
      <c r="BW24" s="663">
        <f>N(Invoer!AR44)</f>
        <v/>
      </c>
      <c r="BX24" s="480" t="n"/>
      <c r="BY24" s="477" t="n"/>
      <c r="BZ24" s="107" t="n"/>
      <c r="CA24" s="64">
        <f>IF(N(Invoer!AG44)=0,"",Invoer!AG44)</f>
        <v/>
      </c>
      <c r="CB24" s="657">
        <f>N(Invoer!AH44)</f>
        <v/>
      </c>
      <c r="CC24" s="657">
        <f>N(Invoer!AI44)</f>
        <v/>
      </c>
      <c r="CD24" s="64">
        <f>IF( OR(CO_rep&lt;&gt;"",CO_verv&lt;&gt;""),IF(lambda_fabrikant&lt;&gt;"",IF(Uitvoeren_missie="N", (1-EXP(-aantal_componenten*lambda_fabrikant*Missieduur*p_gebruik_missie))/Missieduur/aantal_componenten,
IF(doorlooptijd_missie_i &lt;&gt; 0,((aantal_componenten*lambda_fabrikant*(1/doorlooptijd_missie_i)/(aantal_componenten*lambda_fabrikant+1/doorlooptijd_missie_i))*Missieduur*p_gebruik_missie+(aantal_componenten*lambda_fabrikant)^2/(aantal_componenten*lambda_fabrikant+1/doorlooptijd_missie_i)^2*(1-EXP(-(aantal_componenten*lambda_fabrikant+1/doorlooptijd_missie_i)*Missieduur*p_gebruik_missie)))/Missieduur/aantal_componenten,lambda_fabrikant*p_gebruik_missie)),""),"")</f>
        <v/>
      </c>
      <c r="CE24" s="64">
        <f>IF( OR(CO_rep&lt;&gt;"",CO_verv&lt;&gt;""),IF(lambda_fabrikant&lt;&gt;"",IF(uitvoeren_GO = "J", (1-EXP(-(aantal_componenten*lambda_fabrikant*p_gebruik_wal* interval_groot_onderhoud/8760*Missies_per_jaar*walduur)))/ (interval_groot_onderhoud/8760*Missies_per_jaar*walduur) / aantal_componenten,IF(doorlooptijd_wal_i &lt;&gt; 0,((aantal_componenten*lambda_fabrikant*(1/doorlooptijd_wal_i)/(aantal_componenten*lambda_fabrikant+1/doorlooptijd_wal_i))*walduur*p_gebruik_wal+(aantal_componenten*lambda_fabrikant)^2/(aantal_componenten*lambda_fabrikant+1/doorlooptijd_wal_i)^2*(1-EXP(-(aantal_componenten*lambda_fabrikant+1/doorlooptijd_wal_i)*walduur*p_gebruik_wal)))/walduur/aantal_componenten,lambda_fabrikant*p_gebruik_wal)),""),"")</f>
        <v/>
      </c>
      <c r="CF24" s="64">
        <f>IF( OR(CO_rep&lt;&gt;"",CO_verv&lt;&gt;""),
IF(OR(lambda_missie_g&lt;&gt;"",lambda_wal_g&lt;&gt;""), "", IF(Perio_int="j",1/8760, IF(Perio_int="m",12/8760, IF(Perio_int="w",52/8760, IF(Perio_int="d",365/8760,"error") ) ) )*Periodiciteit),"")</f>
        <v/>
      </c>
      <c r="CG24" s="66">
        <f>IF(OR(CO_rep&lt;&gt;"",CO_verv&lt;&gt;""),1,"")</f>
        <v/>
      </c>
      <c r="CH24" s="64">
        <f>IF( OR(CO_rep&lt;&gt;"",CO_verv&lt;&gt;""),IF(lambda_fabrikant="",lambda_kalendertijd*missiepercentage*8760/(Missies_per_jaar*Missieduur),""),"")</f>
        <v/>
      </c>
      <c r="CI24" s="64">
        <f>IF( OR(CO_rep&lt;&gt;"",CO_verv&lt;&gt;""),IF(lambda_fabrikant="",lambda_kalendertijd*(1-missiepercentage)*8760/(Missies_per_jaar*walduur),""),"")</f>
        <v/>
      </c>
      <c r="CJ24" s="64">
        <f>IF( OR(CO_rep&lt;&gt;"",CO_verv&lt;&gt;""),
IF(OR(lambda_missie_g&lt;&gt;"",lambda_wal_g&lt;&gt;""), (lambda_missie_g*Missieduur + lambda_wal_g*walduur)/8760*Missies_per_jaar, lambda_kalendertijd),"")</f>
        <v/>
      </c>
      <c r="CK24" s="64">
        <f>IF(lambda&lt;&gt;"",m_schip*lambda,"")</f>
        <v/>
      </c>
      <c r="CL24" s="65">
        <f>IF(OR(CO_rep&lt;&gt;"",CO_verv&lt;&gt;""),IF(Redundantie = "J","?",1),"")</f>
        <v/>
      </c>
      <c r="CM24" s="64">
        <f>IF(lambda&lt;&gt;"",IF(Redundantie="J",IF(lambda_missie_g&lt;&gt;"",lambda_missie_g*redundantie_factor,lambda_missie*redundantie_factor),IF(lambda_missie_g&lt;&gt;"",lambda_missie_g*m_schip,lambda_missie*m_schip)),"")</f>
        <v/>
      </c>
      <c r="CN24" s="64">
        <f>IF(lambda&lt;&gt;"",lambda_functie*Missieduur*Missies_per_jaar/8760,"")</f>
        <v/>
      </c>
      <c r="CO24" s="64">
        <f>IF(lambda&lt;&gt;"",IF(Redundantie="J",IF(lambda_wal_g&lt;&gt;"",lambda_wal_g*redundantie_factor,lambda_wal*redundantie_factor),IF(lambda_wal_g&lt;&gt;"",lambda_wal_g*m_schip,lambda_wal*m_schip)),"")</f>
        <v/>
      </c>
      <c r="CP24" s="64">
        <f>IF(lambda&lt;&gt;"",lambda_functie_wal*walduur*Missies_per_jaar/8760,"")</f>
        <v/>
      </c>
      <c r="CQ24" s="107" t="n"/>
      <c r="CR24" s="115">
        <f>IF(OR(CO_verv&lt;&gt;"",CO_rep&lt;&gt;""),aantal_componenten,"")</f>
        <v/>
      </c>
      <c r="CS24" s="66">
        <f>IF( OR(CO_rep&lt;&gt;"",CO_verv&lt;&gt;""),IF(Aantal_res_boord=0,1,IF(lambda_missie_g&lt;&gt;"",1-POISSON(Aantal_res_boord-1,m_schip*lambda_missie_g*Missieduur,TRUE),1-POISSON(Aantal_res_boord-1,m_schip*lambda_missie*Missieduur,TRUE))),"")</f>
        <v/>
      </c>
      <c r="CT24" s="107" t="n"/>
      <c r="CU24" s="115">
        <f>IF(OR(CO_verv&lt;&gt;"",CO_rep&lt;&gt;""),Aantal_fregatten * m_schip,"")</f>
        <v/>
      </c>
      <c r="CV24" s="65">
        <f>IF(AND(lambda&gt;0,Aantal_ini_wal&gt;=0,Aantal_res_wal&lt;&gt;""),IF(Aantal_ini_wal&gt;Aantal_res_wal,(Aantal_ini_wal-Aantal_res_wal)/(m_vloot*lambda*8760),0),"")</f>
        <v/>
      </c>
      <c r="CW24" s="65">
        <f>IF(AND(lambda&gt;0,Aantal_max_wal&gt;=0,Aantal_res_wal&lt;&gt;""),IF(Aantal_max_wal&gt;Aantal_res_wal,(Aantal_max_wal-Aantal_res_wal)/(m_vloot*lambda*8760),0),"")</f>
        <v/>
      </c>
      <c r="CX24" s="68">
        <f>IF(AND(ini_periode&lt;&gt;"",bestel_interval&lt;&gt;"",besteltijd&lt;&gt;""),IF(ini_periode&gt;=Looptijd,0,
IF(bestel_interval&gt;=(Looptijd-ini_periode),IF(besteltijd&lt;(Looptijd-ini_periode),besteltijd/8760/Looptijd,(Looptijd-ini_periode)/Looptijd),
IF(((Looptijd-ini_periode)-(INT((Looptijd-ini_periode)/(besteltijd/8760+bestel_interval))))&gt;=besteltijd/8760,(1+INT((Looptijd-ini_periode)/(besteltijd/8760+bestel_interval)))*(besteltijd/8760)/Looptijd,(INT((Looptijd-ini_periode)/(besteltijd/8760+bestel_interval))*(besteltijd/8760)+((Looptijd-ini_periode)-(INT((Looptijd-ini_periode)/(besteltijd/8760+bestel_interval)))*(besteltijd/8760+bestel_interval)))/Looptijd))),"")</f>
        <v/>
      </c>
      <c r="CY24" s="66">
        <f>IF( OR(CO_rep&lt;&gt;"",CO_verv&lt;&gt;""),
IF( Aantal_res_wal+(Aantal_fregatten-1)*Aantal_res_boord=0, 1*IF(percentage_looptijd_inbestelling&lt;&gt;"",percentage_looptijd_inbestelling,1),
(1-POISSON(Aantal_res_wal-1+(Aantal_fregatten-1)*Aantal_res_boord, m_vloot*lambda*besteltijd,TRUE))*IF(percentage_looptijd_inbestelling&lt;&gt;"",percentage_looptijd_inbestelling,1)),"")</f>
        <v/>
      </c>
      <c r="CZ24" s="66">
        <f>IF( OR(CO_rep&lt;&gt;"",CO_verv&lt;&gt;""),IF( Aantal_res_wal=0,1, 1-POISSON(Aantal_res_boord+Aantal_res_wal-1, m_vloot*lambda*besteltijd,TRUE) ),"")</f>
        <v/>
      </c>
      <c r="DA24" s="107" t="n"/>
      <c r="DB24" s="115">
        <f>IF(OR(Uitvoeren_missie&lt;&gt;"J",uitvoeren_bedrijf="J",uitvoeren_GO="J"), "",
IF(TAO_revisie&lt;&gt;"", TAO_rev_verv_tijd,
IF(TAO_vervanging&lt;&gt;"", TAO_rev_verv_tijd,
IF(PO_doorlooptijd&lt;&gt;0, PO_doorlooptijd,"" ))))</f>
        <v/>
      </c>
      <c r="DC24" s="107" t="n"/>
      <c r="DD24" s="115">
        <f>IF(AND(CO_rep&lt;&gt;"", Uitvoeren_missie="N"), Missieduur,
IF(AND(CO_rep&lt;&gt;"", Uitvoeren_missie="J"), CO_zoektijd + CO_rep_verv_tijd,""))</f>
        <v/>
      </c>
      <c r="DE24" s="115">
        <f>IF(AND(CO_verv&lt;&gt;"", Uitvoeren_missie="N"), Missieduur,
IF(AND(CO_verv&lt;&gt;"", Uitvoeren_missie="J"), CO_zoektijd + CO_rep_verv_tijd,""))</f>
        <v/>
      </c>
      <c r="DF24" s="115">
        <f>IF(AND(CO_verv&lt;&gt;"", Uitvoeren_missie="N"), Missieduur,
IF(AND(CO_verv&lt;&gt;"", Uitvoeren_missie="J"), wachttijd_invlieg+CO_zoektijd + CO_rep_verv_tijd,""))</f>
        <v/>
      </c>
      <c r="DG24" s="115">
        <f>IF(AND(CO_verv&lt;&gt;"", Uitvoeren_missie="N"), Missieduur,
IF(AND(CO_verv&lt;&gt;"", Uitvoeren_missie="J"), besteltijd + wachttijd_invlieg + CO_zoektijd + CO_rep_verv_tijd,""))</f>
        <v/>
      </c>
      <c r="DH24" s="115">
        <f> IF(AND(doorlooptijd_missie_met&lt;&gt;"",CO_verv&lt;&gt;""), P_op_boord* ( P_op_vloot*doorlooptijd_missie_zonder + (1-P_op_vloot)*doorlooptijd_invlieg ) + (1-P_op_boord)* doorlooptijd_missie_met, "")</f>
        <v/>
      </c>
      <c r="DI24" s="115">
        <f>IF(CO_rep&lt;&gt;"",doorlooptijd_missie_rep,IF(AND(CO_verv&lt;&gt;"",Aantal_res_boord&lt;&gt;"",Aantal_res_boord&lt;&gt;0),doorlooptijd_missie_met,IF(AND(CO_verv&lt;&gt;"",Aantal_max_wal&lt;&gt;"",Aantal_max_wal&lt;&gt;0),doorlooptijd_invlieg,doorlooptijd_missie_zonder)))</f>
        <v/>
      </c>
      <c r="DJ24" s="115">
        <f>IF(doorlooptijd_missie_verv&lt;&gt;"", doorlooptijd_missie_verv, IF(doorlooptijd_missie_rep&lt;&gt;"", doorlooptijd_missie_rep,""))</f>
        <v/>
      </c>
      <c r="DK24" s="107" t="n"/>
      <c r="DL24" s="115">
        <f> IF(CO_rep&lt;&gt;"", CO_zoektijd + CO_rep_verv_tijd,"")</f>
        <v/>
      </c>
      <c r="DM24" s="115">
        <f> IF(AND(CO_verv&lt;&gt;"",CO_rep=""), wachttijd_wal+CO_zoektijd + CO_rep_verv_tijd,"")</f>
        <v/>
      </c>
      <c r="DN24" s="115">
        <f> IF(AND(CO_verv&lt;&gt;"",CO_rep=""), wachttijd_invlieg+CO_zoektijd + CO_rep_verv_tijd,"")</f>
        <v/>
      </c>
      <c r="DO24" s="115">
        <f>IF(AND(CO_verv&lt;&gt;"",CO_rep=""), besteltijd + wachttijd_wal + CO_zoektijd + CO_rep_verv_tijd,"")</f>
        <v/>
      </c>
      <c r="DP24" s="69">
        <f> IF(AND(doorlooptijd_van_wal&lt;&gt;"",CO_verv&lt;&gt;""), P_op_vloot*doorlooptijd_wal_zonder +
(1-P_op_vloot)*(P_op_wal*Doorlooptijd_transport+ (1-P_op_wal)*doorlooptijd_van_wal ), "")</f>
        <v/>
      </c>
      <c r="DQ24" s="115">
        <f>IF(CO_rep&lt;&gt;"",doorlooptijd_wal_rep,IF(AND(CO_verv&lt;&gt;"",AND(Aantal_res_boord&lt;&gt;"",Aantal_res_boord&lt;&gt;0)),doorlooptijd_van_wal,IF(AND(CO_verv&lt;&gt;"",AND(Aantal_max_wal&lt;&gt;"",Aantal_max_wal&lt;&gt;0)),Doorlooptijd_transport,doorlooptijd_wal_zonder)))</f>
        <v/>
      </c>
      <c r="DR24" s="115">
        <f>IF(doorlooptijd_wal_verv&lt;&gt;"", doorlooptijd_wal_verv, IF(doorlooptijd_wal_rep&lt;&gt;"", doorlooptijd_wal_rep,""))</f>
        <v/>
      </c>
      <c r="DS24" s="107" t="n"/>
      <c r="DT24" s="64">
        <f>IF(OR(CO_verv&lt;&gt;"",CO_rep&lt;&gt;""),IF(lambda_functie&lt;&gt;"",ONB_missie_tussenberekening_1 + ONB_missie_tussenberekening_2,""),"")</f>
        <v/>
      </c>
      <c r="DU24" s="64">
        <f>IF(OR(CO_rep&lt;&gt;"",CO_verv&lt;&gt;""),IF(lambda_functie&lt;&gt;"",IF(Uitvoeren_missie="N",1-(1-EXP(-lambda_functie*Missieduur))/(lambda_functie*Missieduur),IF(CO_verv&lt;&gt;"",
(1-P_op_boord)*IF(doorlooptijd_missie_met&lt;&gt;0,lambda_functie/(lambda_functie+(1/doorlooptijd_missie_met))-lambda_functie/((lambda_functie+(1/doorlooptijd_missie_met))^2*Missieduur)*(1-EXP(-(lambda_functie+(1/doorlooptijd_missie_met))*Missieduur)),0)+P_op_boord*((1-P_op_vloot)*IF(doorlooptijd_invlieg&lt;&gt;0,lambda_functie/(lambda_functie+(1 /doorlooptijd_invlieg))-lambda_functie/((lambda_functie+(1/doorlooptijd_invlieg))^2*Missieduur)*(1-EXP(-(lambda_functie+(1/doorlooptijd_invlieg))*Missieduur)),0)+P_op_vloot*IF(doorlooptijd_missie_zonder&lt;&gt;0,lambda_functie/(lambda_functie+(1/doorlooptijd_missie_zonder))-lambda_functie/((lambda_functie+(1/doorlooptijd_missie_zonder))^2*Missieduur)*(1-EXP(-(lambda_functie+(1/doorlooptijd_missie_zonder))*Missieduur)),0)),0)),0),"")</f>
        <v/>
      </c>
      <c r="DV24" s="64">
        <f>IF(OR(CO_rep&lt;&gt;"",CO_verv&lt;&gt;""),IF(lambda_functie&lt;&gt;"",IF(CO_rep&lt;&gt;"",
IF(doorlooptijd_missie_rep&lt;&gt;0,lambda_functie/(lambda_functie+(1/doorlooptijd_missie_rep))-lambda_functie/((lambda_functie+(1/doorlooptijd_missie_rep))^2*Missieduur)*(1-EXP(-(lambda_functie+(1/doorlooptijd_missie_rep))*Missieduur)),0),0)),"")</f>
        <v/>
      </c>
      <c r="DW24" s="66">
        <f>IF(ONB_missie="","",IF(tot_ONB_missie&lt;&gt;0,ONB_missie/tot_ONB_missie,0))</f>
        <v/>
      </c>
      <c r="DX24" s="115">
        <f>IF(Lijst_componenten="","", IF(OR(DT24=0,DT24=""),DX23, IF(DX23="",DT24,1-(1-DT24)*(1-DX23))))</f>
        <v/>
      </c>
      <c r="DY24" s="107" t="n"/>
      <c r="DZ24" s="96">
        <f>IF(OR(CO_rep&lt;&gt;"",CO_verv&lt;&gt;""),IF(uitvoeren_GO="J",ONB_tussenberekening_1,IF(CO_rep&lt;&gt;"",ONB_tussenberekening_2,ONB_tussenberekening_3+ONB_tussenberekening_4+ONB_tussenberekening_5)),"")</f>
        <v/>
      </c>
      <c r="EA24" s="96">
        <f>IF(OR(CO_rep&lt;&gt;"",CO_verv&lt;&gt;""),IF(AND(OR(lambda_functie_kalendertijd&lt;&gt;"",lambda_functie_wal_kalendertijd&lt;&gt;""),uitvoeren_GO="J"),
1-(1-EXP(-(lambda_functie_kalendertijd+lambda_functie_wal_kalendertijd)*interval_groot_onderhoud))
/((lambda_functie_kalendertijd+lambda_functie_wal_kalendertijd)*interval_groot_onderhoud),0),"")</f>
        <v/>
      </c>
      <c r="EB24" s="96">
        <f>IF(OR(CO_rep&lt;&gt;"",CO_verv&lt;&gt;""),IF(AND(CO_rep &lt;&gt;"",OR(doorlooptijd_missie_rep&gt;=walduur,doorlooptijd_wal_rep &gt;= walduur)),IF(doorlooptijd_missie_rep &gt;= walduur,lambda_functie_kalendertijd / (lambda_functie_kalendertijd + 1/doorlooptijd_missie_rep),0)
+ IF(doorlooptijd_wal_rep &gt;= walduur,lambda_functie_wal_kalendertijd / (lambda_functie_wal_kalendertijd + 1/doorlooptijd_wal_rep),0),IF(CO_rep &lt;&gt; "",(1 -EXP(-(lambda_functie_wal_kalendertijd + 1 / doorlooptijd_wal_rep)*walduur))
* lambda_functie_wal_kalendertijd / (lambda_functie_wal_kalendertijd + 1/ doorlooptijd_wal_rep),0)),"")</f>
        <v/>
      </c>
      <c r="EC24" s="96">
        <f>IF(OR(CO_rep&lt;&gt;"",CO_verv&lt;&gt;""),IF(CO_verv&lt;&gt;"",
P_op_boord* ( P_op_vloot*IF(doorlooptijd_missie_zonder&gt;=walduur, lambda_functie_kalendertijd / (lambda_functie_kalendertijd + 1/doorlooptijd_missie_zonder),0)+ (1- P_op_vloot)*IF(doorlooptijd_invlieg&gt;=walduur, lambda_functie_kalendertijd / (lambda_functie_kalendertijd + 1 /doorlooptijd_invlieg),0) )
+ (1- P_op_boord) * IF(doorlooptijd_missie_met&gt;=walduur,lambda_functie_kalendertijd / (lambda_functie_kalendertijd + 1 / doorlooptijd_missie_met),0),0),"")</f>
        <v/>
      </c>
      <c r="ED24" s="96">
        <f>IF(OR(CO_rep&lt;&gt;"",CO_verv&lt;&gt;""),IF(CO_verv &lt;&gt;"",
(1-P_op_vloot)*((1 - P_op_wal)*IF(doorlooptijd_van_wal&gt;=walduur,lambda_functie_wal_kalendertijd/(lambda_functie_wal_kalendertijd+ 1/ doorlooptijd_van_wal),0)
+ P_op_wal*IF(Doorlooptijd_transport&gt;=walduur,lambda_functie_wal_kalendertijd / (lambda_functie_wal_kalendertijd +1/Doorlooptijd_transport),0) )+ P_op_vloot*IF(doorlooptijd_wal_zonder&gt;=walduur, lambda_functie_wal_kalendertijd / (lambda_functie_wal_kalendertijd + 1/ doorlooptijd_wal_zonder),0),0),"")</f>
        <v/>
      </c>
      <c r="EE24" s="96">
        <f>IF(OR(CO_rep&lt;&gt;"",CO_verv&lt;&gt;""),IF(CO_verv &lt;&gt;"",
(1-P_op_vloot)* ( (1- P_op_wal)* (IF(AND(doorlooptijd_van_wal&lt;&gt;0,doorlooptijd_van_wal&lt;walduur),(1 -EXP(-(lambda_functie_wal_kalendertijd + 1 / doorlooptijd_van_wal)*walduur))
* lambda_functie_wal_kalendertijd / (lambda_functie_wal_kalendertijd + 1/ doorlooptijd_van_wal),0))
+ P_op_wal*(IF(AND(Doorlooptijd_transport&lt;&gt;0,Doorlooptijd_transport&lt;walduur),(1 -EXP(-(lambda_functie_wal_kalendertijd + 1 / Doorlooptijd_transport)*walduur))
* lambda_functie_wal_kalendertijd /(lambda_functie_wal_kalendertijd + 1/ Doorlooptijd_transport),0)))
+ P_op_vloot*(IF(AND(doorlooptijd_wal_zonder&lt;&gt;0,doorlooptijd_wal_zonder&lt;walduur),(1 -EXP(-(lambda_functie_wal_kalendertijd + 1 / doorlooptijd_wal_zonder)*walduur))
* lambda_functie_wal_kalendertijd / (lambda_functie_wal_kalendertijd + 1/ doorlooptijd_wal_zonder),0)),0),"")</f>
        <v/>
      </c>
      <c r="EF24" s="66">
        <f>IF(ONB_aanvang="","",IF(tot_ONB_aanvang&lt;&gt;0,ONB_aanvang/tot_ONB_aanvang,0))</f>
        <v/>
      </c>
      <c r="EG24" s="115">
        <f>IF(Lijst_componenten="","", IF(OR(DZ24=0,DZ24=""),EG23, IF(EG23="",DZ24,1-(1-DZ24)*(1-EG23))))</f>
        <v/>
      </c>
      <c r="EH24" s="107" t="n"/>
      <c r="EI24" s="40">
        <f>IF(Invoer!BE44="","",Invoer!BE44)</f>
        <v/>
      </c>
      <c r="EJ24" s="71" t="n"/>
      <c r="EK24" s="120" t="n"/>
      <c r="EL24" s="119" t="n"/>
      <c r="EM24" s="107" t="n"/>
      <c r="EN24" s="72" t="n"/>
      <c r="EO24" s="107" t="n"/>
      <c r="EP24" s="107" t="n"/>
      <c r="EQ24" s="119" t="n"/>
      <c r="ER24" s="120" t="n"/>
      <c r="ES24" s="119" t="n"/>
      <c r="ET24" s="119" t="n"/>
      <c r="EU24" s="115">
        <f>IF(Invoer!AS44="","",Invoer!AS44)</f>
        <v/>
      </c>
      <c r="EV24" s="115">
        <f>IF(Invoer!AT44="","",Invoer!AT44)</f>
        <v/>
      </c>
      <c r="EW24" s="115">
        <f>IF(Invoer!AU44="","",Invoer!AU44)</f>
        <v/>
      </c>
      <c r="EX24" s="115">
        <f>IF(Invoer!AV44="","",Invoer!AV44)</f>
        <v/>
      </c>
      <c r="EY24" s="115">
        <f>IF(Invoer!AW44="","",Invoer!AW44)</f>
        <v/>
      </c>
      <c r="EZ24" s="115">
        <f>IF(Invoer!AX44="","",Invoer!AX44)</f>
        <v/>
      </c>
      <c r="FA24" s="115">
        <f>IF(Invoer!AY44="","",Invoer!AY44)</f>
        <v/>
      </c>
      <c r="FB24" s="115">
        <f>IF(Invoer!AZ44="","",Invoer!AZ44)</f>
        <v/>
      </c>
      <c r="FC24" s="115">
        <f>IF(Invoer!BA44="","",Invoer!BA44)</f>
        <v/>
      </c>
      <c r="FD24" s="115">
        <f>IF(Invoer!BB44="","",Invoer!BB44)</f>
        <v/>
      </c>
      <c r="FE24" s="348" t="n"/>
      <c r="FF24" s="118">
        <f>IF(AND(functie_1&lt;&gt;"",lambda&lt;&gt;""),lambda*m_schip,"")</f>
        <v/>
      </c>
      <c r="FG24" s="118">
        <f>IF(functie_1&lt;&gt;"",lambda_functie,"")</f>
        <v/>
      </c>
      <c r="FH24" s="118">
        <f>IF(functie_1&lt;&gt;"",ONB_missie,"")</f>
        <v/>
      </c>
      <c r="FI24" s="115">
        <f>IF(Lijst_componenten="","", IF(OR(FH24=0,FH24=""),FI23, IF(FI23="",FH24,1-(1-FH24)*(1-FI23))))</f>
        <v/>
      </c>
      <c r="FJ24" s="118">
        <f>IF(functie_1&lt;&gt;"",ONB_aanvang,"")</f>
        <v/>
      </c>
      <c r="FK24" s="115">
        <f>IF(Lijst_componenten="","", IF(OR(FJ24=0,FJ24=""),FK23, IF(FK23="",FJ24,1-(1-FJ24)*(1-FK23))))</f>
        <v/>
      </c>
      <c r="FL24" s="107" t="n"/>
      <c r="FM24" s="118">
        <f>IF(AND(functie_2&lt;&gt;"",lambda&lt;&gt;""),lambda*m_schip,"")</f>
        <v/>
      </c>
      <c r="FN24" s="118">
        <f>IF(functie_2&lt;&gt;"",lambda_functie,"")</f>
        <v/>
      </c>
      <c r="FO24" s="118">
        <f>IF(functie_2&lt;&gt;"",ONB_missie,"")</f>
        <v/>
      </c>
      <c r="FP24" s="115">
        <f>IF(Lijst_componenten="","", IF(OR(FO24=0,FO24=""),FP23, IF(FP23="",FO24,1-(1-FO24)*(1-FP23))))</f>
        <v/>
      </c>
      <c r="FQ24" s="118">
        <f>IF(functie_2&lt;&gt;"",ONB_aanvang,"")</f>
        <v/>
      </c>
      <c r="FR24" s="115">
        <f>IF(Lijst_componenten="","", IF(OR(FQ24=0,FQ24=""),FR23, IF(FR23="",FQ24,1-(1-FQ24)*(1-FR23))))</f>
        <v/>
      </c>
      <c r="FS24" s="107" t="n"/>
      <c r="FT24" s="118">
        <f>IF(AND(functie_3&lt;&gt;"",lambda&lt;&gt;""),lambda*m_schip,"")</f>
        <v/>
      </c>
      <c r="FU24" s="118">
        <f>IF(functie_3&lt;&gt;"",lambda_functie,"")</f>
        <v/>
      </c>
      <c r="FV24" s="118">
        <f>IF(functie_3&lt;&gt;"",ONB_missie,"")</f>
        <v/>
      </c>
      <c r="FW24" s="115">
        <f>IF(Lijst_componenten="","", IF(OR(FV24=0,FV24=""),FW23, IF(FW23="",FV24,1-(1-FV24)*(1-FW23))))</f>
        <v/>
      </c>
      <c r="FX24" s="118">
        <f>IF(functie_3&lt;&gt;"",ONB_aanvang,"")</f>
        <v/>
      </c>
      <c r="FY24" s="115">
        <f>IF(Lijst_componenten="","", IF(OR(FX24=0,FX24=""),FY23, IF(FY23="",FX24,1-(1-FX24)*(1-FY23))))</f>
        <v/>
      </c>
      <c r="FZ24" s="107" t="n"/>
      <c r="GA24" s="118">
        <f>IF(AND(functie_4&lt;&gt;"",lambda&lt;&gt;""),lambda*m_schip,"")</f>
        <v/>
      </c>
      <c r="GB24" s="118">
        <f>IF(functie_4&lt;&gt;"",lambda_functie,"")</f>
        <v/>
      </c>
      <c r="GC24" s="118">
        <f>IF(functie_4&lt;&gt;"",ONB_missie,"")</f>
        <v/>
      </c>
      <c r="GD24" s="115">
        <f>IF(Lijst_componenten="","", IF(OR(GC24=0,GC24=""),GD23, IF(GD23="",GC24,1-(1-GC24)*(1-GD23))))</f>
        <v/>
      </c>
      <c r="GE24" s="118">
        <f>IF(functie_4&lt;&gt;"",ONB_aanvang,"")</f>
        <v/>
      </c>
      <c r="GF24" s="115">
        <f>IF(Lijst_componenten="","", IF(OR(GE24=0,GE24=""),GF23, IF(GF23="",GE24,1-(1-GE24)*(1-GF23))))</f>
        <v/>
      </c>
      <c r="GG24" s="107" t="n"/>
      <c r="GH24" s="118">
        <f>IF(AND(functie_5&lt;&gt;"",lambda&lt;&gt;""),lambda*m_schip,"")</f>
        <v/>
      </c>
      <c r="GI24" s="118">
        <f>IF(functie_5&lt;&gt;"",lambda_functie,"")</f>
        <v/>
      </c>
      <c r="GJ24" s="118">
        <f>IF(functie_5&lt;&gt;"",ONB_missie,"")</f>
        <v/>
      </c>
      <c r="GK24" s="115">
        <f>IF(Lijst_componenten="","", IF(OR(GJ24=0,GJ24=""),GK23, IF(GK23="",GJ24,1-(1-GJ24)*(1-GK23))))</f>
        <v/>
      </c>
      <c r="GL24" s="118">
        <f>IF(functie_5&lt;&gt;"",ONB_aanvang,"")</f>
        <v/>
      </c>
      <c r="GM24" s="115">
        <f>IF(Lijst_componenten="","", IF(OR(GL24=0,GL24=""),GM23, IF(GM23="",GL24,1-(1-GL24)*(1-GM23))))</f>
        <v/>
      </c>
      <c r="GN24" s="107" t="n"/>
      <c r="GO24" s="118">
        <f>IF(AND(functie_6&lt;&gt;"",lambda&lt;&gt;""),lambda*m_schip,"")</f>
        <v/>
      </c>
      <c r="GP24" s="118">
        <f>IF(functie_6&lt;&gt;"",lambda_functie,"")</f>
        <v/>
      </c>
      <c r="GQ24" s="118">
        <f>IF(functie_6&lt;&gt;"",ONB_missie,"")</f>
        <v/>
      </c>
      <c r="GR24" s="115">
        <f>IF(Lijst_componenten="","", IF(OR(GQ24=0,GQ24=""),GR23, IF(GR23="",GQ24,1-(1-GQ24)*(1-GR23))))</f>
        <v/>
      </c>
      <c r="GS24" s="118">
        <f>IF(functie_6&lt;&gt;"",ONB_aanvang,"")</f>
        <v/>
      </c>
      <c r="GT24" s="115">
        <f>IF(Lijst_componenten="","", IF(OR(GS24=0,GS24=""),GT23, IF(GT23="",GS24,1-(1-GS24)*(1-GT23))))</f>
        <v/>
      </c>
      <c r="GU24" s="107" t="n"/>
      <c r="GV24" s="118">
        <f>IF(AND(functie_7&lt;&gt;"",lambda&lt;&gt;""),lambda*m_schip,"")</f>
        <v/>
      </c>
      <c r="GW24" s="118">
        <f>IF(functie_7&lt;&gt;"",lambda_functie,"")</f>
        <v/>
      </c>
      <c r="GX24" s="118">
        <f>IF(functie_7&lt;&gt;"",ONB_missie,"")</f>
        <v/>
      </c>
      <c r="GY24" s="115">
        <f>IF(Lijst_componenten="","", IF(OR(GX24=0,GX24=""),GY23, IF(GY23="",GX24,1-(1-GX24)*(1-GY23))))</f>
        <v/>
      </c>
      <c r="GZ24" s="118">
        <f>IF(functie_7&lt;&gt;"",ONB_aanvang,"")</f>
        <v/>
      </c>
      <c r="HA24" s="115">
        <f>IF(Lijst_componenten="","", IF(OR(GZ24=0,GZ24=""),HA23, IF(HA23="",GZ24,1-(1-GZ24)*(1-HA23))))</f>
        <v/>
      </c>
      <c r="HB24" s="107" t="n"/>
      <c r="HC24" s="118">
        <f>IF(AND(functie_8&lt;&gt;"",lambda&lt;&gt;""),lambda*m_schip,"")</f>
        <v/>
      </c>
      <c r="HD24" s="118">
        <f>IF(functie_8&lt;&gt;"",lambda_functie,"")</f>
        <v/>
      </c>
      <c r="HE24" s="118">
        <f>IF(functie_8&lt;&gt;"",ONB_missie,"")</f>
        <v/>
      </c>
      <c r="HF24" s="115">
        <f>IF(Lijst_componenten="","", IF(OR(HE24=0,HE24=""),HF23, IF(HF23="",HE24,1-(1-HE24)*(1-HF23))))</f>
        <v/>
      </c>
      <c r="HG24" s="118">
        <f>IF(functie_8&lt;&gt;"",ONB_aanvang,"")</f>
        <v/>
      </c>
      <c r="HH24" s="115">
        <f>IF(Lijst_componenten="","", IF(OR(HG24=0,HG24=""),HH23, IF(HH23="",HG24,1-(1-HG24)*(1-HH23))))</f>
        <v/>
      </c>
      <c r="HI24" s="107" t="n"/>
      <c r="HJ24" s="118">
        <f>IF(AND(functie_9&lt;&gt;"",lambda&lt;&gt;""),lambda*m_schip,"")</f>
        <v/>
      </c>
      <c r="HK24" s="118">
        <f>IF(functie_9&lt;&gt;"",lambda_functie,"")</f>
        <v/>
      </c>
      <c r="HL24" s="118">
        <f>IF(functie_9&lt;&gt;"",ONB_missie,"")</f>
        <v/>
      </c>
      <c r="HM24" s="115">
        <f>IF(Lijst_componenten="","", IF(OR(HL24=0,HL24=""),HM23, IF(HM23="",HL24,1-(1-HL24)*(1-HM23))))</f>
        <v/>
      </c>
      <c r="HN24" s="118">
        <f>IF(functie_9&lt;&gt;"",ONB_aanvang,"")</f>
        <v/>
      </c>
      <c r="HO24" s="115">
        <f>IF(Lijst_componenten="","", IF(OR(HN24=0,HN24=""),HO23, IF(HO23="",HN24,1-(1-HN24)*(1-HO23))))</f>
        <v/>
      </c>
      <c r="HP24" s="107" t="n"/>
      <c r="HQ24" s="118">
        <f>IF(AND(functie_10&lt;&gt;"",lambda&lt;&gt;""),lambda*m_schip,"")</f>
        <v/>
      </c>
      <c r="HR24" s="118">
        <f>IF(functie_10&lt;&gt;"",lambda_functie,"")</f>
        <v/>
      </c>
      <c r="HS24" s="118">
        <f>IF(functie_10&lt;&gt;"",ONB_missie,"")</f>
        <v/>
      </c>
      <c r="HT24" s="115">
        <f>IF(Lijst_componenten="","", IF(OR(HS24=0,HS24=""),HT23, IF(HT23="",HS24,1-(1-HS24)*(1-HT23))))</f>
        <v/>
      </c>
      <c r="HU24" s="118">
        <f>IF(functie_10&lt;&gt;"",ONB_aanvang,"")</f>
        <v/>
      </c>
      <c r="HV24" s="115">
        <f>IF(Lijst_componenten="","", IF(OR(HU24=0,HU24=""),HV23, IF(HV23="",HU24,1-(1-HU24)*(1-HV23))))</f>
        <v/>
      </c>
      <c r="HW24" s="353" t="n"/>
      <c r="HX24" s="113" t="n"/>
      <c r="HY24" s="353" t="n"/>
      <c r="HZ24" s="353" t="n"/>
      <c r="IA24" s="353" t="n"/>
      <c r="IB24" s="353" t="n"/>
      <c r="IC24" s="353" t="n"/>
      <c r="ID24" s="353" t="n"/>
      <c r="IE24" s="353" t="n"/>
      <c r="IF24" s="353" t="n"/>
      <c r="IG24" s="353" t="n"/>
      <c r="IH24" s="353" t="n"/>
      <c r="II24" s="353" t="n"/>
      <c r="IJ24" s="353" t="n"/>
      <c r="IK24" s="353" t="n"/>
      <c r="IL24" s="353" t="n"/>
      <c r="IM24" s="353" t="n"/>
      <c r="IN24" s="353" t="n"/>
      <c r="IO24" s="353" t="n"/>
      <c r="IP24" s="353" t="n"/>
      <c r="IQ24" s="353" t="n"/>
      <c r="IR24" s="353" t="n"/>
      <c r="IS24" s="353" t="n"/>
      <c r="IT24" s="353" t="n"/>
      <c r="IU24" s="353" t="n"/>
      <c r="IV24" s="353" t="n"/>
    </row>
    <row r="25" ht="12" customFormat="1" customHeight="1" s="353">
      <c r="A25" s="99" t="n">
        <v>8</v>
      </c>
      <c r="B25" s="649">
        <f>N(Invoer!B45)</f>
        <v/>
      </c>
      <c r="C25" s="649">
        <f>N(Invoer!C45)</f>
        <v/>
      </c>
      <c r="D25" s="649">
        <f>N(Invoer!D45)</f>
        <v/>
      </c>
      <c r="E25" s="649">
        <f>N(Invoer!E45)</f>
        <v/>
      </c>
      <c r="F25" s="649">
        <f>N(Invoer!F45)</f>
        <v/>
      </c>
      <c r="G25" s="649">
        <f>N(Invoer!G45)</f>
        <v/>
      </c>
      <c r="H25" s="649">
        <f>N(Invoer!H45)</f>
        <v/>
      </c>
      <c r="I25" s="649">
        <f>N(Invoer!I45)</f>
        <v/>
      </c>
      <c r="J25" s="649">
        <f>N(Invoer!J45)</f>
        <v/>
      </c>
      <c r="K25" s="649">
        <f>N(Invoer!K45)</f>
        <v/>
      </c>
      <c r="L25" s="58">
        <f>IF(Invoer!L45="","",Invoer!L45)</f>
        <v/>
      </c>
      <c r="M25" s="650">
        <f>N(Invoer!M45)</f>
        <v/>
      </c>
      <c r="N25" s="58">
        <f>IF(Invoer!N45="","",Invoer!N45)</f>
        <v/>
      </c>
      <c r="O25" s="119" t="n"/>
      <c r="P25" s="96">
        <f>IF(Invoer!BK45="","",Invoer!BK45)</f>
        <v/>
      </c>
      <c r="Q25" s="96">
        <f>IF(Invoer!BL45="","",Invoer!BL45)</f>
        <v/>
      </c>
      <c r="R25" s="96">
        <f>IF(Invoer!BM45="","",Invoer!BM45)</f>
        <v/>
      </c>
      <c r="S25" s="96">
        <f>IF(Invoer!BN45="","",Invoer!BN45)</f>
        <v/>
      </c>
      <c r="T25" s="96">
        <f>IF(Invoer!BO45="","",Invoer!BO45)</f>
        <v/>
      </c>
      <c r="U25" s="96">
        <f>IF(Invoer!BP45="","",Invoer!BP45)</f>
        <v/>
      </c>
      <c r="V25" s="60" t="n"/>
      <c r="W25" s="115">
        <f>IF(Invoer!BQ45="","",Invoer!BQ45)</f>
        <v/>
      </c>
      <c r="X25" s="115">
        <f>IF(Invoer!BR45="","",Invoer!BR45)</f>
        <v/>
      </c>
      <c r="Y25" s="60" t="n"/>
      <c r="Z25" s="115">
        <f>IF(Invoer!BS45="","",Invoer!BS45)</f>
        <v/>
      </c>
      <c r="AA25" s="115">
        <f>IF(Invoer!BT45="","",Invoer!BT45)</f>
        <v/>
      </c>
      <c r="AB25" s="115">
        <f>IF(Invoer!P45="","",Invoer!P45)</f>
        <v/>
      </c>
      <c r="AC25" s="60" t="n"/>
      <c r="AD25" s="34">
        <f>IF(Invoer!Q45="","",Invoer!Q45)</f>
        <v/>
      </c>
      <c r="AE25" s="110" t="n"/>
      <c r="AF25" s="96">
        <f>IF(Invoer!R45="","",Invoer!R45)</f>
        <v/>
      </c>
      <c r="AG25" s="107" t="n"/>
      <c r="AH25" s="107" t="n"/>
      <c r="AI25" s="658">
        <f>IF(N(Invoer!S45)=0,"",Invoer!S45)</f>
        <v/>
      </c>
      <c r="AJ25" s="659">
        <f>IF(Invoer!T45="","",Invoer!T45)</f>
        <v/>
      </c>
      <c r="AK25" s="365" t="n"/>
      <c r="AL25" s="659">
        <f>IF(Invoer!U45="","",Invoer!U45)</f>
        <v/>
      </c>
      <c r="AM25" s="659">
        <f>IF(Invoer!V45="","",Invoer!V45)</f>
        <v/>
      </c>
      <c r="AN25" s="659">
        <f>IF(Invoer!W45="","",Invoer!W45)</f>
        <v/>
      </c>
      <c r="AO25" s="368" t="n"/>
      <c r="AP25" s="660">
        <f>N(Invoer!X45)</f>
        <v/>
      </c>
      <c r="AQ25" s="660">
        <f>N(Invoer!Y45)</f>
        <v/>
      </c>
      <c r="AR25" s="660">
        <f>N(Invoer!Z45)</f>
        <v/>
      </c>
      <c r="AS25" s="660">
        <f>N(Invoer!AA45)</f>
        <v/>
      </c>
      <c r="AT25" s="660">
        <f>N(Invoer!AB45)</f>
        <v/>
      </c>
      <c r="AU25" s="660">
        <f>N(Invoer!AC45)</f>
        <v/>
      </c>
      <c r="AV25" s="368" t="n"/>
      <c r="AW25" s="661">
        <f>N(Invoer!AD45)</f>
        <v/>
      </c>
      <c r="AX25" s="368" t="n"/>
      <c r="AY25" s="541">
        <f>IF(Periodiciteit&lt;&gt;"",(uurtarief_wd*(IF(ISNUMBER(tijd_wd),tijd_wd,0))+uurtarief_td*(IF(ISNUMBER(tijd_td),tijd_td,0))+uurtarief_sb*(IF(ISNUMBER(tijd_sb),tijd_sb,0))+uurtarief_rw*(IF(ISNUMBER(tijd_rw),tijd_rw,0))+uurtarief_d*(IF(ISNUMBER(tijd_d),tijd_d,0))+uurtarief_3*(IF(ISNUMBER(tijd_3),tijd_3,0)) +(IF(ISNUMBER(f_vast),f_vast,0)))*(IF(Perio_int="j",1,IF(Perio_int="m",12,IF(Perio_int="w",52,IF(Perio_int="d",365,0)))))*Periodiciteit*aantal_componenten,"")</f>
        <v/>
      </c>
      <c r="AZ25" s="368" t="n"/>
      <c r="BA25" s="542">
        <f>IF(N(Invoer!AE45)=0,"",Invoer!AE45)</f>
        <v/>
      </c>
      <c r="BB25" s="368" t="n"/>
      <c r="BC25" s="542">
        <f>IF(AND(Periodiciteit&lt;&gt;"",Kosten_res_pk&lt;&gt;""), Kosten_res_pk*(IF(Perio_int="j",1,IF(Perio_int="m",12,IF(Perio_int="w",52,IF(Perio_int="d",365,0)))))*Periodiciteit*aantal_componenten,"")</f>
        <v/>
      </c>
      <c r="BD25" s="368" t="n"/>
      <c r="BE25" s="370" t="n"/>
      <c r="BF25" s="368" t="n"/>
      <c r="BG25" s="542">
        <f>IF(Kosten_res_trade &lt;&gt;"", Kosten_res_trade, Kosten_res_jaar )</f>
        <v/>
      </c>
      <c r="BH25" s="368" t="n"/>
      <c r="BI25" s="543">
        <f>IF(N(Invoer!AF45)=0,"",Invoer!AF45)</f>
        <v/>
      </c>
      <c r="BJ25" s="368" t="n"/>
      <c r="BK25" s="543">
        <f>IF(AND(Periodiciteit&lt;&gt;"",Gevolgkosten&lt;&gt;""), Gevolgkosten*(IF(Perio_int="j",1,IF(Perio_int="m",12,IF(Perio_int="w",52,IF(Perio_int="d",365,0)))))*Periodiciteit*aantal_componenten,"")</f>
        <v/>
      </c>
      <c r="BL25" s="368" t="n"/>
      <c r="BM25" s="660">
        <f>N(Invoer!AJ45)</f>
        <v/>
      </c>
      <c r="BN25" s="662">
        <f>N(Invoer!AK45)</f>
        <v/>
      </c>
      <c r="BO25" s="662">
        <f>N(Invoer!AL45)</f>
        <v/>
      </c>
      <c r="BP25" s="662">
        <f>N(Invoer!AM45)</f>
        <v/>
      </c>
      <c r="BQ25" s="368" t="n"/>
      <c r="BR25" s="662">
        <f>N(Invoer!AN45)</f>
        <v/>
      </c>
      <c r="BS25" s="543">
        <f>IF(N(Invoer!AO45)=0,"",Invoer!AO45)</f>
        <v/>
      </c>
      <c r="BT25" s="662">
        <f>N(Invoer!AP45)</f>
        <v/>
      </c>
      <c r="BU25" s="368" t="n"/>
      <c r="BV25" s="662">
        <f>N(Invoer!AQ45)</f>
        <v/>
      </c>
      <c r="BW25" s="663">
        <f>N(Invoer!AR45)</f>
        <v/>
      </c>
      <c r="BX25" s="480" t="n"/>
      <c r="BY25" s="477" t="n"/>
      <c r="BZ25" s="107" t="n"/>
      <c r="CA25" s="64">
        <f>IF(N(Invoer!AG45)=0,"",Invoer!AG45)</f>
        <v/>
      </c>
      <c r="CB25" s="657">
        <f>N(Invoer!AH45)</f>
        <v/>
      </c>
      <c r="CC25" s="657">
        <f>N(Invoer!AI45)</f>
        <v/>
      </c>
      <c r="CD25" s="64">
        <f>IF( OR(CO_rep&lt;&gt;"",CO_verv&lt;&gt;""),IF(lambda_fabrikant&lt;&gt;"",IF(Uitvoeren_missie="N", (1-EXP(-aantal_componenten*lambda_fabrikant*Missieduur*p_gebruik_missie))/Missieduur/aantal_componenten,
IF(doorlooptijd_missie_i &lt;&gt; 0,((aantal_componenten*lambda_fabrikant*(1/doorlooptijd_missie_i)/(aantal_componenten*lambda_fabrikant+1/doorlooptijd_missie_i))*Missieduur*p_gebruik_missie+(aantal_componenten*lambda_fabrikant)^2/(aantal_componenten*lambda_fabrikant+1/doorlooptijd_missie_i)^2*(1-EXP(-(aantal_componenten*lambda_fabrikant+1/doorlooptijd_missie_i)*Missieduur*p_gebruik_missie)))/Missieduur/aantal_componenten,lambda_fabrikant*p_gebruik_missie)),""),"")</f>
        <v/>
      </c>
      <c r="CE25" s="64">
        <f>IF( OR(CO_rep&lt;&gt;"",CO_verv&lt;&gt;""),IF(lambda_fabrikant&lt;&gt;"",IF(uitvoeren_GO = "J", (1-EXP(-(aantal_componenten*lambda_fabrikant*p_gebruik_wal* interval_groot_onderhoud/8760*Missies_per_jaar*walduur)))/ (interval_groot_onderhoud/8760*Missies_per_jaar*walduur) / aantal_componenten,IF(doorlooptijd_wal_i &lt;&gt; 0,((aantal_componenten*lambda_fabrikant*(1/doorlooptijd_wal_i)/(aantal_componenten*lambda_fabrikant+1/doorlooptijd_wal_i))*walduur*p_gebruik_wal+(aantal_componenten*lambda_fabrikant)^2/(aantal_componenten*lambda_fabrikant+1/doorlooptijd_wal_i)^2*(1-EXP(-(aantal_componenten*lambda_fabrikant+1/doorlooptijd_wal_i)*walduur*p_gebruik_wal)))/walduur/aantal_componenten,lambda_fabrikant*p_gebruik_wal)),""),"")</f>
        <v/>
      </c>
      <c r="CF25" s="64">
        <f>IF( OR(CO_rep&lt;&gt;"",CO_verv&lt;&gt;""),
IF(OR(lambda_missie_g&lt;&gt;"",lambda_wal_g&lt;&gt;""), "", IF(Perio_int="j",1/8760, IF(Perio_int="m",12/8760, IF(Perio_int="w",52/8760, IF(Perio_int="d",365/8760,"error") ) ) )*Periodiciteit),"")</f>
        <v/>
      </c>
      <c r="CG25" s="66">
        <f>IF(OR(CO_rep&lt;&gt;"",CO_verv&lt;&gt;""),1,"")</f>
        <v/>
      </c>
      <c r="CH25" s="64">
        <f>IF( OR(CO_rep&lt;&gt;"",CO_verv&lt;&gt;""),IF(lambda_fabrikant="",lambda_kalendertijd*missiepercentage*8760/(Missies_per_jaar*Missieduur),""),"")</f>
        <v/>
      </c>
      <c r="CI25" s="64">
        <f>IF( OR(CO_rep&lt;&gt;"",CO_verv&lt;&gt;""),IF(lambda_fabrikant="",lambda_kalendertijd*(1-missiepercentage)*8760/(Missies_per_jaar*walduur),""),"")</f>
        <v/>
      </c>
      <c r="CJ25" s="64">
        <f>IF( OR(CO_rep&lt;&gt;"",CO_verv&lt;&gt;""),
IF(OR(lambda_missie_g&lt;&gt;"",lambda_wal_g&lt;&gt;""), (lambda_missie_g*Missieduur + lambda_wal_g*walduur)/8760*Missies_per_jaar, lambda_kalendertijd),"")</f>
        <v/>
      </c>
      <c r="CK25" s="64">
        <f>IF(lambda&lt;&gt;"",m_schip*lambda,"")</f>
        <v/>
      </c>
      <c r="CL25" s="65">
        <f>IF(OR(CO_rep&lt;&gt;"",CO_verv&lt;&gt;""),IF(Redundantie = "J","?",1),"")</f>
        <v/>
      </c>
      <c r="CM25" s="64">
        <f>IF(lambda&lt;&gt;"",IF(Redundantie="J",IF(lambda_missie_g&lt;&gt;"",lambda_missie_g*redundantie_factor,lambda_missie*redundantie_factor),IF(lambda_missie_g&lt;&gt;"",lambda_missie_g*m_schip,lambda_missie*m_schip)),"")</f>
        <v/>
      </c>
      <c r="CN25" s="64">
        <f>IF(lambda&lt;&gt;"",lambda_functie*Missieduur*Missies_per_jaar/8760,"")</f>
        <v/>
      </c>
      <c r="CO25" s="64">
        <f>IF(lambda&lt;&gt;"",IF(Redundantie="J",IF(lambda_wal_g&lt;&gt;"",lambda_wal_g*redundantie_factor,lambda_wal*redundantie_factor),IF(lambda_wal_g&lt;&gt;"",lambda_wal_g*m_schip,lambda_wal*m_schip)),"")</f>
        <v/>
      </c>
      <c r="CP25" s="64">
        <f>IF(lambda&lt;&gt;"",lambda_functie_wal*walduur*Missies_per_jaar/8760,"")</f>
        <v/>
      </c>
      <c r="CQ25" s="107" t="n"/>
      <c r="CR25" s="115">
        <f>IF(OR(CO_verv&lt;&gt;"",CO_rep&lt;&gt;""),aantal_componenten,"")</f>
        <v/>
      </c>
      <c r="CS25" s="66">
        <f>IF( OR(CO_rep&lt;&gt;"",CO_verv&lt;&gt;""),IF(Aantal_res_boord=0,1,IF(lambda_missie_g&lt;&gt;"",1-POISSON(Aantal_res_boord-1,m_schip*lambda_missie_g*Missieduur,TRUE),1-POISSON(Aantal_res_boord-1,m_schip*lambda_missie*Missieduur,TRUE))),"")</f>
        <v/>
      </c>
      <c r="CT25" s="107" t="n"/>
      <c r="CU25" s="115">
        <f>IF(OR(CO_verv&lt;&gt;"",CO_rep&lt;&gt;""),Aantal_fregatten * m_schip,"")</f>
        <v/>
      </c>
      <c r="CV25" s="65">
        <f>IF(AND(lambda&gt;0,Aantal_ini_wal&gt;=0,Aantal_res_wal&lt;&gt;""),IF(Aantal_ini_wal&gt;Aantal_res_wal,(Aantal_ini_wal-Aantal_res_wal)/(m_vloot*lambda*8760),0),"")</f>
        <v/>
      </c>
      <c r="CW25" s="65">
        <f>IF(AND(lambda&gt;0,Aantal_max_wal&gt;=0,Aantal_res_wal&lt;&gt;""),IF(Aantal_max_wal&gt;Aantal_res_wal,(Aantal_max_wal-Aantal_res_wal)/(m_vloot*lambda*8760),0),"")</f>
        <v/>
      </c>
      <c r="CX25" s="68">
        <f>IF(AND(ini_periode&lt;&gt;"",bestel_interval&lt;&gt;"",besteltijd&lt;&gt;""),IF(ini_periode&gt;=Looptijd,0,
IF(bestel_interval&gt;=(Looptijd-ini_periode),IF(besteltijd&lt;(Looptijd-ini_periode),besteltijd/8760/Looptijd,(Looptijd-ini_periode)/Looptijd),
IF(((Looptijd-ini_periode)-(INT((Looptijd-ini_periode)/(besteltijd/8760+bestel_interval))))&gt;=besteltijd/8760,(1+INT((Looptijd-ini_periode)/(besteltijd/8760+bestel_interval)))*(besteltijd/8760)/Looptijd,(INT((Looptijd-ini_periode)/(besteltijd/8760+bestel_interval))*(besteltijd/8760)+((Looptijd-ini_periode)-(INT((Looptijd-ini_periode)/(besteltijd/8760+bestel_interval)))*(besteltijd/8760+bestel_interval)))/Looptijd))),"")</f>
        <v/>
      </c>
      <c r="CY25" s="66">
        <f>IF( OR(CO_rep&lt;&gt;"",CO_verv&lt;&gt;""),
IF( Aantal_res_wal+(Aantal_fregatten-1)*Aantal_res_boord=0, 1*IF(percentage_looptijd_inbestelling&lt;&gt;"",percentage_looptijd_inbestelling,1),
(1-POISSON(Aantal_res_wal-1+(Aantal_fregatten-1)*Aantal_res_boord, m_vloot*lambda*besteltijd,TRUE))*IF(percentage_looptijd_inbestelling&lt;&gt;"",percentage_looptijd_inbestelling,1)),"")</f>
        <v/>
      </c>
      <c r="CZ25" s="66">
        <f>IF( OR(CO_rep&lt;&gt;"",CO_verv&lt;&gt;""),IF( Aantal_res_wal=0,1, 1-POISSON(Aantal_res_boord+Aantal_res_wal-1, m_vloot*lambda*besteltijd,TRUE) ),"")</f>
        <v/>
      </c>
      <c r="DA25" s="107" t="n"/>
      <c r="DB25" s="115">
        <f>IF(OR(Uitvoeren_missie&lt;&gt;"J",uitvoeren_bedrijf="J",uitvoeren_GO="J"), "",
IF(TAO_revisie&lt;&gt;"", TAO_rev_verv_tijd,
IF(TAO_vervanging&lt;&gt;"", TAO_rev_verv_tijd,
IF(PO_doorlooptijd&lt;&gt;0, PO_doorlooptijd,"" ))))</f>
        <v/>
      </c>
      <c r="DC25" s="107" t="n"/>
      <c r="DD25" s="115">
        <f>IF(AND(CO_rep&lt;&gt;"", Uitvoeren_missie="N"), Missieduur,
IF(AND(CO_rep&lt;&gt;"", Uitvoeren_missie="J"), CO_zoektijd + CO_rep_verv_tijd,""))</f>
        <v/>
      </c>
      <c r="DE25" s="115">
        <f>IF(AND(CO_verv&lt;&gt;"", Uitvoeren_missie="N"), Missieduur,
IF(AND(CO_verv&lt;&gt;"", Uitvoeren_missie="J"), CO_zoektijd + CO_rep_verv_tijd,""))</f>
        <v/>
      </c>
      <c r="DF25" s="115">
        <f>IF(AND(CO_verv&lt;&gt;"", Uitvoeren_missie="N"), Missieduur,
IF(AND(CO_verv&lt;&gt;"", Uitvoeren_missie="J"), wachttijd_invlieg+CO_zoektijd + CO_rep_verv_tijd,""))</f>
        <v/>
      </c>
      <c r="DG25" s="115">
        <f>IF(AND(CO_verv&lt;&gt;"", Uitvoeren_missie="N"), Missieduur,
IF(AND(CO_verv&lt;&gt;"", Uitvoeren_missie="J"), besteltijd + wachttijd_invlieg + CO_zoektijd + CO_rep_verv_tijd,""))</f>
        <v/>
      </c>
      <c r="DH25" s="115">
        <f> IF(AND(doorlooptijd_missie_met&lt;&gt;"",CO_verv&lt;&gt;""), P_op_boord* ( P_op_vloot*doorlooptijd_missie_zonder + (1-P_op_vloot)*doorlooptijd_invlieg ) + (1-P_op_boord)* doorlooptijd_missie_met, "")</f>
        <v/>
      </c>
      <c r="DI25" s="115">
        <f>IF(CO_rep&lt;&gt;"",doorlooptijd_missie_rep,IF(AND(CO_verv&lt;&gt;"",Aantal_res_boord&lt;&gt;"",Aantal_res_boord&lt;&gt;0),doorlooptijd_missie_met,IF(AND(CO_verv&lt;&gt;"",Aantal_max_wal&lt;&gt;"",Aantal_max_wal&lt;&gt;0),doorlooptijd_invlieg,doorlooptijd_missie_zonder)))</f>
        <v/>
      </c>
      <c r="DJ25" s="115">
        <f>IF(doorlooptijd_missie_verv&lt;&gt;"", doorlooptijd_missie_verv, IF(doorlooptijd_missie_rep&lt;&gt;"", doorlooptijd_missie_rep,""))</f>
        <v/>
      </c>
      <c r="DK25" s="107" t="n"/>
      <c r="DL25" s="115">
        <f> IF(CO_rep&lt;&gt;"", CO_zoektijd + CO_rep_verv_tijd,"")</f>
        <v/>
      </c>
      <c r="DM25" s="115">
        <f> IF(AND(CO_verv&lt;&gt;"",CO_rep=""), wachttijd_wal+CO_zoektijd + CO_rep_verv_tijd,"")</f>
        <v/>
      </c>
      <c r="DN25" s="115">
        <f> IF(AND(CO_verv&lt;&gt;"",CO_rep=""), wachttijd_invlieg+CO_zoektijd + CO_rep_verv_tijd,"")</f>
        <v/>
      </c>
      <c r="DO25" s="115">
        <f>IF(AND(CO_verv&lt;&gt;"",CO_rep=""), besteltijd + wachttijd_wal + CO_zoektijd + CO_rep_verv_tijd,"")</f>
        <v/>
      </c>
      <c r="DP25" s="69">
        <f> IF(AND(doorlooptijd_van_wal&lt;&gt;"",CO_verv&lt;&gt;""), P_op_vloot*doorlooptijd_wal_zonder +
(1-P_op_vloot)*(P_op_wal*Doorlooptijd_transport+ (1-P_op_wal)*doorlooptijd_van_wal ), "")</f>
        <v/>
      </c>
      <c r="DQ25" s="115">
        <f>IF(CO_rep&lt;&gt;"",doorlooptijd_wal_rep,IF(AND(CO_verv&lt;&gt;"",AND(Aantal_res_boord&lt;&gt;"",Aantal_res_boord&lt;&gt;0)),doorlooptijd_van_wal,IF(AND(CO_verv&lt;&gt;"",AND(Aantal_max_wal&lt;&gt;"",Aantal_max_wal&lt;&gt;0)),Doorlooptijd_transport,doorlooptijd_wal_zonder)))</f>
        <v/>
      </c>
      <c r="DR25" s="115">
        <f>IF(doorlooptijd_wal_verv&lt;&gt;"", doorlooptijd_wal_verv, IF(doorlooptijd_wal_rep&lt;&gt;"", doorlooptijd_wal_rep,""))</f>
        <v/>
      </c>
      <c r="DS25" s="107" t="n"/>
      <c r="DT25" s="64">
        <f>IF(OR(CO_verv&lt;&gt;"",CO_rep&lt;&gt;""),IF(lambda_functie&lt;&gt;"",ONB_missie_tussenberekening_1 + ONB_missie_tussenberekening_2,""),"")</f>
        <v/>
      </c>
      <c r="DU25" s="64">
        <f>IF(OR(CO_rep&lt;&gt;"",CO_verv&lt;&gt;""),IF(lambda_functie&lt;&gt;"",IF(Uitvoeren_missie="N",1-(1-EXP(-lambda_functie*Missieduur))/(lambda_functie*Missieduur),IF(CO_verv&lt;&gt;"",
(1-P_op_boord)*IF(doorlooptijd_missie_met&lt;&gt;0,lambda_functie/(lambda_functie+(1/doorlooptijd_missie_met))-lambda_functie/((lambda_functie+(1/doorlooptijd_missie_met))^2*Missieduur)*(1-EXP(-(lambda_functie+(1/doorlooptijd_missie_met))*Missieduur)),0)+P_op_boord*((1-P_op_vloot)*IF(doorlooptijd_invlieg&lt;&gt;0,lambda_functie/(lambda_functie+(1 /doorlooptijd_invlieg))-lambda_functie/((lambda_functie+(1/doorlooptijd_invlieg))^2*Missieduur)*(1-EXP(-(lambda_functie+(1/doorlooptijd_invlieg))*Missieduur)),0)+P_op_vloot*IF(doorlooptijd_missie_zonder&lt;&gt;0,lambda_functie/(lambda_functie+(1/doorlooptijd_missie_zonder))-lambda_functie/((lambda_functie+(1/doorlooptijd_missie_zonder))^2*Missieduur)*(1-EXP(-(lambda_functie+(1/doorlooptijd_missie_zonder))*Missieduur)),0)),0)),0),"")</f>
        <v/>
      </c>
      <c r="DV25" s="64">
        <f>IF(OR(CO_rep&lt;&gt;"",CO_verv&lt;&gt;""),IF(lambda_functie&lt;&gt;"",IF(CO_rep&lt;&gt;"",
IF(doorlooptijd_missie_rep&lt;&gt;0,lambda_functie/(lambda_functie+(1/doorlooptijd_missie_rep))-lambda_functie/((lambda_functie+(1/doorlooptijd_missie_rep))^2*Missieduur)*(1-EXP(-(lambda_functie+(1/doorlooptijd_missie_rep))*Missieduur)),0),0)),"")</f>
        <v/>
      </c>
      <c r="DW25" s="66">
        <f>IF(ONB_missie="","",IF(tot_ONB_missie&lt;&gt;0,ONB_missie/tot_ONB_missie,0))</f>
        <v/>
      </c>
      <c r="DX25" s="115">
        <f>IF(Lijst_componenten="","", IF(OR(DT25=0,DT25=""),DX24, IF(DX24="",DT25,1-(1-DT25)*(1-DX24))))</f>
        <v/>
      </c>
      <c r="DY25" s="107" t="n"/>
      <c r="DZ25" s="96">
        <f>IF(OR(CO_rep&lt;&gt;"",CO_verv&lt;&gt;""),IF(uitvoeren_GO="J",ONB_tussenberekening_1,IF(CO_rep&lt;&gt;"",ONB_tussenberekening_2,ONB_tussenberekening_3+ONB_tussenberekening_4+ONB_tussenberekening_5)),"")</f>
        <v/>
      </c>
      <c r="EA25" s="96">
        <f>IF(OR(CO_rep&lt;&gt;"",CO_verv&lt;&gt;""),IF(AND(OR(lambda_functie_kalendertijd&lt;&gt;"",lambda_functie_wal_kalendertijd&lt;&gt;""),uitvoeren_GO="J"),
1-(1-EXP(-(lambda_functie_kalendertijd+lambda_functie_wal_kalendertijd)*interval_groot_onderhoud))
/((lambda_functie_kalendertijd+lambda_functie_wal_kalendertijd)*interval_groot_onderhoud),0),"")</f>
        <v/>
      </c>
      <c r="EB25" s="96">
        <f>IF(OR(CO_rep&lt;&gt;"",CO_verv&lt;&gt;""),IF(AND(CO_rep &lt;&gt;"",OR(doorlooptijd_missie_rep&gt;=walduur,doorlooptijd_wal_rep &gt;= walduur)),IF(doorlooptijd_missie_rep &gt;= walduur,lambda_functie_kalendertijd / (lambda_functie_kalendertijd + 1/doorlooptijd_missie_rep),0)
+ IF(doorlooptijd_wal_rep &gt;= walduur,lambda_functie_wal_kalendertijd / (lambda_functie_wal_kalendertijd + 1/doorlooptijd_wal_rep),0),IF(CO_rep &lt;&gt; "",(1 -EXP(-(lambda_functie_wal_kalendertijd + 1 / doorlooptijd_wal_rep)*walduur))
* lambda_functie_wal_kalendertijd / (lambda_functie_wal_kalendertijd + 1/ doorlooptijd_wal_rep),0)),"")</f>
        <v/>
      </c>
      <c r="EC25" s="96">
        <f>IF(OR(CO_rep&lt;&gt;"",CO_verv&lt;&gt;""),IF(CO_verv&lt;&gt;"",
P_op_boord* ( P_op_vloot*IF(doorlooptijd_missie_zonder&gt;=walduur, lambda_functie_kalendertijd / (lambda_functie_kalendertijd + 1/doorlooptijd_missie_zonder),0)+ (1- P_op_vloot)*IF(doorlooptijd_invlieg&gt;=walduur, lambda_functie_kalendertijd / (lambda_functie_kalendertijd + 1 /doorlooptijd_invlieg),0) )
+ (1- P_op_boord) * IF(doorlooptijd_missie_met&gt;=walduur,lambda_functie_kalendertijd / (lambda_functie_kalendertijd + 1 / doorlooptijd_missie_met),0),0),"")</f>
        <v/>
      </c>
      <c r="ED25" s="96">
        <f>IF(OR(CO_rep&lt;&gt;"",CO_verv&lt;&gt;""),IF(CO_verv &lt;&gt;"",
(1-P_op_vloot)*((1 - P_op_wal)*IF(doorlooptijd_van_wal&gt;=walduur,lambda_functie_wal_kalendertijd/(lambda_functie_wal_kalendertijd+ 1/ doorlooptijd_van_wal),0)
+ P_op_wal*IF(Doorlooptijd_transport&gt;=walduur,lambda_functie_wal_kalendertijd / (lambda_functie_wal_kalendertijd +1/Doorlooptijd_transport),0) )+ P_op_vloot*IF(doorlooptijd_wal_zonder&gt;=walduur, lambda_functie_wal_kalendertijd / (lambda_functie_wal_kalendertijd + 1/ doorlooptijd_wal_zonder),0),0),"")</f>
        <v/>
      </c>
      <c r="EE25" s="96">
        <f>IF(OR(CO_rep&lt;&gt;"",CO_verv&lt;&gt;""),IF(CO_verv &lt;&gt;"",
(1-P_op_vloot)* ( (1- P_op_wal)* (IF(AND(doorlooptijd_van_wal&lt;&gt;0,doorlooptijd_van_wal&lt;walduur),(1 -EXP(-(lambda_functie_wal_kalendertijd + 1 / doorlooptijd_van_wal)*walduur))
* lambda_functie_wal_kalendertijd / (lambda_functie_wal_kalendertijd + 1/ doorlooptijd_van_wal),0))
+ P_op_wal*(IF(AND(Doorlooptijd_transport&lt;&gt;0,Doorlooptijd_transport&lt;walduur),(1 -EXP(-(lambda_functie_wal_kalendertijd + 1 / Doorlooptijd_transport)*walduur))
* lambda_functie_wal_kalendertijd /(lambda_functie_wal_kalendertijd + 1/ Doorlooptijd_transport),0)))
+ P_op_vloot*(IF(AND(doorlooptijd_wal_zonder&lt;&gt;0,doorlooptijd_wal_zonder&lt;walduur),(1 -EXP(-(lambda_functie_wal_kalendertijd + 1 / doorlooptijd_wal_zonder)*walduur))
* lambda_functie_wal_kalendertijd / (lambda_functie_wal_kalendertijd + 1/ doorlooptijd_wal_zonder),0)),0),"")</f>
        <v/>
      </c>
      <c r="EF25" s="66">
        <f>IF(ONB_aanvang="","",IF(tot_ONB_aanvang&lt;&gt;0,ONB_aanvang/tot_ONB_aanvang,0))</f>
        <v/>
      </c>
      <c r="EG25" s="115">
        <f>IF(Lijst_componenten="","", IF(OR(DZ25=0,DZ25=""),EG24, IF(EG24="",DZ25,1-(1-DZ25)*(1-EG24))))</f>
        <v/>
      </c>
      <c r="EH25" s="107" t="n"/>
      <c r="EI25" s="40">
        <f>IF(Invoer!BE45="","",Invoer!BE45)</f>
        <v/>
      </c>
      <c r="EJ25" s="71" t="n"/>
      <c r="EK25" s="120" t="n"/>
      <c r="EL25" s="119" t="n"/>
      <c r="EM25" s="107" t="n"/>
      <c r="EN25" s="72" t="n"/>
      <c r="EO25" s="107" t="n"/>
      <c r="EP25" s="107" t="n"/>
      <c r="EQ25" s="119" t="n"/>
      <c r="ER25" s="120" t="n"/>
      <c r="ES25" s="119" t="n"/>
      <c r="ET25" s="119" t="n"/>
      <c r="EU25" s="115">
        <f>IF(Invoer!AS45="","",Invoer!AS45)</f>
        <v/>
      </c>
      <c r="EV25" s="115">
        <f>IF(Invoer!AT45="","",Invoer!AT45)</f>
        <v/>
      </c>
      <c r="EW25" s="115">
        <f>IF(Invoer!AU45="","",Invoer!AU45)</f>
        <v/>
      </c>
      <c r="EX25" s="115">
        <f>IF(Invoer!AV45="","",Invoer!AV45)</f>
        <v/>
      </c>
      <c r="EY25" s="115">
        <f>IF(Invoer!AW45="","",Invoer!AW45)</f>
        <v/>
      </c>
      <c r="EZ25" s="115">
        <f>IF(Invoer!AX45="","",Invoer!AX45)</f>
        <v/>
      </c>
      <c r="FA25" s="115">
        <f>IF(Invoer!AY45="","",Invoer!AY45)</f>
        <v/>
      </c>
      <c r="FB25" s="115">
        <f>IF(Invoer!AZ45="","",Invoer!AZ45)</f>
        <v/>
      </c>
      <c r="FC25" s="115">
        <f>IF(Invoer!BA45="","",Invoer!BA45)</f>
        <v/>
      </c>
      <c r="FD25" s="115">
        <f>IF(Invoer!BB45="","",Invoer!BB45)</f>
        <v/>
      </c>
      <c r="FE25" s="348" t="n"/>
      <c r="FF25" s="118">
        <f>IF(AND(functie_1&lt;&gt;"",lambda&lt;&gt;""),lambda*m_schip,"")</f>
        <v/>
      </c>
      <c r="FG25" s="118">
        <f>IF(functie_1&lt;&gt;"",lambda_functie,"")</f>
        <v/>
      </c>
      <c r="FH25" s="118">
        <f>IF(functie_1&lt;&gt;"",ONB_missie,"")</f>
        <v/>
      </c>
      <c r="FI25" s="115">
        <f>IF(Lijst_componenten="","", IF(OR(FH25=0,FH25=""),FI24, IF(FI24="",FH25,1-(1-FH25)*(1-FI24))))</f>
        <v/>
      </c>
      <c r="FJ25" s="118">
        <f>IF(functie_1&lt;&gt;"",ONB_aanvang,"")</f>
        <v/>
      </c>
      <c r="FK25" s="115">
        <f>IF(Lijst_componenten="","", IF(OR(FJ25=0,FJ25=""),FK24, IF(FK24="",FJ25,1-(1-FJ25)*(1-FK24))))</f>
        <v/>
      </c>
      <c r="FL25" s="107" t="n"/>
      <c r="FM25" s="118">
        <f>IF(AND(functie_2&lt;&gt;"",lambda&lt;&gt;""),lambda*m_schip,"")</f>
        <v/>
      </c>
      <c r="FN25" s="118">
        <f>IF(functie_2&lt;&gt;"",lambda_functie,"")</f>
        <v/>
      </c>
      <c r="FO25" s="118">
        <f>IF(functie_2&lt;&gt;"",ONB_missie,"")</f>
        <v/>
      </c>
      <c r="FP25" s="115">
        <f>IF(Lijst_componenten="","", IF(OR(FO25=0,FO25=""),FP24, IF(FP24="",FO25,1-(1-FO25)*(1-FP24))))</f>
        <v/>
      </c>
      <c r="FQ25" s="118">
        <f>IF(functie_2&lt;&gt;"",ONB_aanvang,"")</f>
        <v/>
      </c>
      <c r="FR25" s="115">
        <f>IF(Lijst_componenten="","", IF(OR(FQ25=0,FQ25=""),FR24, IF(FR24="",FQ25,1-(1-FQ25)*(1-FR24))))</f>
        <v/>
      </c>
      <c r="FS25" s="107" t="n"/>
      <c r="FT25" s="118">
        <f>IF(AND(functie_3&lt;&gt;"",lambda&lt;&gt;""),lambda*m_schip,"")</f>
        <v/>
      </c>
      <c r="FU25" s="118">
        <f>IF(functie_3&lt;&gt;"",lambda_functie,"")</f>
        <v/>
      </c>
      <c r="FV25" s="118">
        <f>IF(functie_3&lt;&gt;"",ONB_missie,"")</f>
        <v/>
      </c>
      <c r="FW25" s="115">
        <f>IF(Lijst_componenten="","", IF(OR(FV25=0,FV25=""),FW24, IF(FW24="",FV25,1-(1-FV25)*(1-FW24))))</f>
        <v/>
      </c>
      <c r="FX25" s="118">
        <f>IF(functie_3&lt;&gt;"",ONB_aanvang,"")</f>
        <v/>
      </c>
      <c r="FY25" s="115">
        <f>IF(Lijst_componenten="","", IF(OR(FX25=0,FX25=""),FY24, IF(FY24="",FX25,1-(1-FX25)*(1-FY24))))</f>
        <v/>
      </c>
      <c r="FZ25" s="107" t="n"/>
      <c r="GA25" s="118">
        <f>IF(AND(functie_4&lt;&gt;"",lambda&lt;&gt;""),lambda*m_schip,"")</f>
        <v/>
      </c>
      <c r="GB25" s="118">
        <f>IF(functie_4&lt;&gt;"",lambda_functie,"")</f>
        <v/>
      </c>
      <c r="GC25" s="118">
        <f>IF(functie_4&lt;&gt;"",ONB_missie,"")</f>
        <v/>
      </c>
      <c r="GD25" s="115">
        <f>IF(Lijst_componenten="","", IF(OR(GC25=0,GC25=""),GD24, IF(GD24="",GC25,1-(1-GC25)*(1-GD24))))</f>
        <v/>
      </c>
      <c r="GE25" s="118">
        <f>IF(functie_4&lt;&gt;"",ONB_aanvang,"")</f>
        <v/>
      </c>
      <c r="GF25" s="115">
        <f>IF(Lijst_componenten="","", IF(OR(GE25=0,GE25=""),GF24, IF(GF24="",GE25,1-(1-GE25)*(1-GF24))))</f>
        <v/>
      </c>
      <c r="GG25" s="107" t="n"/>
      <c r="GH25" s="118">
        <f>IF(AND(functie_5&lt;&gt;"",lambda&lt;&gt;""),lambda*m_schip,"")</f>
        <v/>
      </c>
      <c r="GI25" s="118">
        <f>IF(functie_5&lt;&gt;"",lambda_functie,"")</f>
        <v/>
      </c>
      <c r="GJ25" s="118">
        <f>IF(functie_5&lt;&gt;"",ONB_missie,"")</f>
        <v/>
      </c>
      <c r="GK25" s="115">
        <f>IF(Lijst_componenten="","", IF(OR(GJ25=0,GJ25=""),GK24, IF(GK24="",GJ25,1-(1-GJ25)*(1-GK24))))</f>
        <v/>
      </c>
      <c r="GL25" s="118">
        <f>IF(functie_5&lt;&gt;"",ONB_aanvang,"")</f>
        <v/>
      </c>
      <c r="GM25" s="115">
        <f>IF(Lijst_componenten="","", IF(OR(GL25=0,GL25=""),GM24, IF(GM24="",GL25,1-(1-GL25)*(1-GM24))))</f>
        <v/>
      </c>
      <c r="GN25" s="107" t="n"/>
      <c r="GO25" s="118">
        <f>IF(AND(functie_6&lt;&gt;"",lambda&lt;&gt;""),lambda*m_schip,"")</f>
        <v/>
      </c>
      <c r="GP25" s="118">
        <f>IF(functie_6&lt;&gt;"",lambda_functie,"")</f>
        <v/>
      </c>
      <c r="GQ25" s="118">
        <f>IF(functie_6&lt;&gt;"",ONB_missie,"")</f>
        <v/>
      </c>
      <c r="GR25" s="115">
        <f>IF(Lijst_componenten="","", IF(OR(GQ25=0,GQ25=""),GR24, IF(GR24="",GQ25,1-(1-GQ25)*(1-GR24))))</f>
        <v/>
      </c>
      <c r="GS25" s="118">
        <f>IF(functie_6&lt;&gt;"",ONB_aanvang,"")</f>
        <v/>
      </c>
      <c r="GT25" s="115">
        <f>IF(Lijst_componenten="","", IF(OR(GS25=0,GS25=""),GT24, IF(GT24="",GS25,1-(1-GS25)*(1-GT24))))</f>
        <v/>
      </c>
      <c r="GU25" s="107" t="n"/>
      <c r="GV25" s="118">
        <f>IF(AND(functie_7&lt;&gt;"",lambda&lt;&gt;""),lambda*m_schip,"")</f>
        <v/>
      </c>
      <c r="GW25" s="118">
        <f>IF(functie_7&lt;&gt;"",lambda_functie,"")</f>
        <v/>
      </c>
      <c r="GX25" s="118">
        <f>IF(functie_7&lt;&gt;"",ONB_missie,"")</f>
        <v/>
      </c>
      <c r="GY25" s="115">
        <f>IF(Lijst_componenten="","", IF(OR(GX25=0,GX25=""),GY24, IF(GY24="",GX25,1-(1-GX25)*(1-GY24))))</f>
        <v/>
      </c>
      <c r="GZ25" s="118">
        <f>IF(functie_7&lt;&gt;"",ONB_aanvang,"")</f>
        <v/>
      </c>
      <c r="HA25" s="115">
        <f>IF(Lijst_componenten="","", IF(OR(GZ25=0,GZ25=""),HA24, IF(HA24="",GZ25,1-(1-GZ25)*(1-HA24))))</f>
        <v/>
      </c>
      <c r="HB25" s="107" t="n"/>
      <c r="HC25" s="118">
        <f>IF(AND(functie_8&lt;&gt;"",lambda&lt;&gt;""),lambda*m_schip,"")</f>
        <v/>
      </c>
      <c r="HD25" s="118">
        <f>IF(functie_8&lt;&gt;"",lambda_functie,"")</f>
        <v/>
      </c>
      <c r="HE25" s="118">
        <f>IF(functie_8&lt;&gt;"",ONB_missie,"")</f>
        <v/>
      </c>
      <c r="HF25" s="115">
        <f>IF(Lijst_componenten="","", IF(OR(HE25=0,HE25=""),HF24, IF(HF24="",HE25,1-(1-HE25)*(1-HF24))))</f>
        <v/>
      </c>
      <c r="HG25" s="118">
        <f>IF(functie_8&lt;&gt;"",ONB_aanvang,"")</f>
        <v/>
      </c>
      <c r="HH25" s="115">
        <f>IF(Lijst_componenten="","", IF(OR(HG25=0,HG25=""),HH24, IF(HH24="",HG25,1-(1-HG25)*(1-HH24))))</f>
        <v/>
      </c>
      <c r="HI25" s="107" t="n"/>
      <c r="HJ25" s="118">
        <f>IF(AND(functie_9&lt;&gt;"",lambda&lt;&gt;""),lambda*m_schip,"")</f>
        <v/>
      </c>
      <c r="HK25" s="118">
        <f>IF(functie_9&lt;&gt;"",lambda_functie,"")</f>
        <v/>
      </c>
      <c r="HL25" s="118">
        <f>IF(functie_9&lt;&gt;"",ONB_missie,"")</f>
        <v/>
      </c>
      <c r="HM25" s="115">
        <f>IF(Lijst_componenten="","", IF(OR(HL25=0,HL25=""),HM24, IF(HM24="",HL25,1-(1-HL25)*(1-HM24))))</f>
        <v/>
      </c>
      <c r="HN25" s="118">
        <f>IF(functie_9&lt;&gt;"",ONB_aanvang,"")</f>
        <v/>
      </c>
      <c r="HO25" s="115">
        <f>IF(Lijst_componenten="","", IF(OR(HN25=0,HN25=""),HO24, IF(HO24="",HN25,1-(1-HN25)*(1-HO24))))</f>
        <v/>
      </c>
      <c r="HP25" s="107" t="n"/>
      <c r="HQ25" s="118">
        <f>IF(AND(functie_10&lt;&gt;"",lambda&lt;&gt;""),lambda*m_schip,"")</f>
        <v/>
      </c>
      <c r="HR25" s="118">
        <f>IF(functie_10&lt;&gt;"",lambda_functie,"")</f>
        <v/>
      </c>
      <c r="HS25" s="118">
        <f>IF(functie_10&lt;&gt;"",ONB_missie,"")</f>
        <v/>
      </c>
      <c r="HT25" s="115">
        <f>IF(Lijst_componenten="","", IF(OR(HS25=0,HS25=""),HT24, IF(HT24="",HS25,1-(1-HS25)*(1-HT24))))</f>
        <v/>
      </c>
      <c r="HU25" s="118">
        <f>IF(functie_10&lt;&gt;"",ONB_aanvang,"")</f>
        <v/>
      </c>
      <c r="HV25" s="115">
        <f>IF(Lijst_componenten="","", IF(OR(HU25=0,HU25=""),HV24, IF(HV24="",HU25,1-(1-HU25)*(1-HV24))))</f>
        <v/>
      </c>
      <c r="HW25" s="353" t="n"/>
      <c r="HX25" s="113" t="n"/>
      <c r="HY25" s="353" t="n"/>
      <c r="HZ25" s="353" t="n"/>
      <c r="IA25" s="353" t="n"/>
      <c r="IB25" s="353" t="n"/>
      <c r="IC25" s="353" t="n"/>
      <c r="ID25" s="353" t="n"/>
      <c r="IE25" s="353" t="n"/>
      <c r="IF25" s="353" t="n"/>
      <c r="IG25" s="353" t="n"/>
      <c r="IH25" s="353" t="n"/>
      <c r="II25" s="353" t="n"/>
      <c r="IJ25" s="353" t="n"/>
      <c r="IK25" s="353" t="n"/>
      <c r="IL25" s="353" t="n"/>
      <c r="IM25" s="353" t="n"/>
      <c r="IN25" s="353" t="n"/>
      <c r="IO25" s="353" t="n"/>
      <c r="IP25" s="353" t="n"/>
      <c r="IQ25" s="353" t="n"/>
      <c r="IR25" s="353" t="n"/>
      <c r="IS25" s="353" t="n"/>
      <c r="IT25" s="353" t="n"/>
      <c r="IU25" s="353" t="n"/>
      <c r="IV25" s="353" t="n"/>
    </row>
    <row r="26" ht="12" customFormat="1" customHeight="1" s="353">
      <c r="A26" s="99" t="n">
        <v>9</v>
      </c>
      <c r="B26" s="649">
        <f>N(Invoer!B46)</f>
        <v/>
      </c>
      <c r="C26" s="649">
        <f>N(Invoer!C46)</f>
        <v/>
      </c>
      <c r="D26" s="649">
        <f>N(Invoer!D46)</f>
        <v/>
      </c>
      <c r="E26" s="649">
        <f>N(Invoer!E46)</f>
        <v/>
      </c>
      <c r="F26" s="649">
        <f>N(Invoer!F46)</f>
        <v/>
      </c>
      <c r="G26" s="649">
        <f>N(Invoer!G46)</f>
        <v/>
      </c>
      <c r="H26" s="649">
        <f>N(Invoer!H46)</f>
        <v/>
      </c>
      <c r="I26" s="649">
        <f>N(Invoer!I46)</f>
        <v/>
      </c>
      <c r="J26" s="649">
        <f>N(Invoer!J46)</f>
        <v/>
      </c>
      <c r="K26" s="649">
        <f>N(Invoer!K46)</f>
        <v/>
      </c>
      <c r="L26" s="58">
        <f>IF(Invoer!L46="","",Invoer!L46)</f>
        <v/>
      </c>
      <c r="M26" s="650">
        <f>N(Invoer!M46)</f>
        <v/>
      </c>
      <c r="N26" s="58">
        <f>IF(Invoer!N46="","",Invoer!N46)</f>
        <v/>
      </c>
      <c r="O26" s="119" t="n"/>
      <c r="P26" s="96">
        <f>IF(Invoer!BK46="","",Invoer!BK46)</f>
        <v/>
      </c>
      <c r="Q26" s="96">
        <f>IF(Invoer!BL46="","",Invoer!BL46)</f>
        <v/>
      </c>
      <c r="R26" s="96">
        <f>IF(Invoer!BM46="","",Invoer!BM46)</f>
        <v/>
      </c>
      <c r="S26" s="96">
        <f>IF(Invoer!BN46="","",Invoer!BN46)</f>
        <v/>
      </c>
      <c r="T26" s="96">
        <f>IF(Invoer!BO46="","",Invoer!BO46)</f>
        <v/>
      </c>
      <c r="U26" s="96">
        <f>IF(Invoer!BP46="","",Invoer!BP46)</f>
        <v/>
      </c>
      <c r="V26" s="60" t="n"/>
      <c r="W26" s="115">
        <f>IF(Invoer!BQ46="","",Invoer!BQ46)</f>
        <v/>
      </c>
      <c r="X26" s="115">
        <f>IF(Invoer!BR46="","",Invoer!BR46)</f>
        <v/>
      </c>
      <c r="Y26" s="60" t="n"/>
      <c r="Z26" s="115">
        <f>IF(Invoer!BS46="","",Invoer!BS46)</f>
        <v/>
      </c>
      <c r="AA26" s="115">
        <f>IF(Invoer!BT46="","",Invoer!BT46)</f>
        <v/>
      </c>
      <c r="AB26" s="115">
        <f>IF(Invoer!P46="","",Invoer!P46)</f>
        <v/>
      </c>
      <c r="AC26" s="60" t="n"/>
      <c r="AD26" s="34">
        <f>IF(Invoer!Q46="","",Invoer!Q46)</f>
        <v/>
      </c>
      <c r="AE26" s="110" t="n"/>
      <c r="AF26" s="96">
        <f>IF(Invoer!R46="","",Invoer!R46)</f>
        <v/>
      </c>
      <c r="AG26" s="107" t="n"/>
      <c r="AH26" s="107" t="n"/>
      <c r="AI26" s="482">
        <f>IF(N(Invoer!S46)=0,"",Invoer!S46)</f>
        <v/>
      </c>
      <c r="AJ26" s="483">
        <f>IF(Invoer!T46="","",Invoer!T46)</f>
        <v/>
      </c>
      <c r="AK26" s="365" t="n"/>
      <c r="AL26" s="659">
        <f>IF(Invoer!U46="","",Invoer!U46)</f>
        <v/>
      </c>
      <c r="AM26" s="659">
        <f>IF(Invoer!V46="","",Invoer!V46)</f>
        <v/>
      </c>
      <c r="AN26" s="659">
        <f>IF(Invoer!W46="","",Invoer!W46)</f>
        <v/>
      </c>
      <c r="AO26" s="368" t="n"/>
      <c r="AP26" s="660">
        <f>N(Invoer!X46)</f>
        <v/>
      </c>
      <c r="AQ26" s="660">
        <f>N(Invoer!Y46)</f>
        <v/>
      </c>
      <c r="AR26" s="660">
        <f>N(Invoer!Z46)</f>
        <v/>
      </c>
      <c r="AS26" s="660">
        <f>N(Invoer!AA46)</f>
        <v/>
      </c>
      <c r="AT26" s="660">
        <f>N(Invoer!AB46)</f>
        <v/>
      </c>
      <c r="AU26" s="660">
        <f>N(Invoer!AC46)</f>
        <v/>
      </c>
      <c r="AV26" s="368" t="n"/>
      <c r="AW26" s="661">
        <f>N(Invoer!AD46)</f>
        <v/>
      </c>
      <c r="AX26" s="368" t="n"/>
      <c r="AY26" s="541">
        <f>IF(Periodiciteit&lt;&gt;"",(uurtarief_wd*(IF(ISNUMBER(tijd_wd),tijd_wd,0))+uurtarief_td*(IF(ISNUMBER(tijd_td),tijd_td,0))+uurtarief_sb*(IF(ISNUMBER(tijd_sb),tijd_sb,0))+uurtarief_rw*(IF(ISNUMBER(tijd_rw),tijd_rw,0))+uurtarief_d*(IF(ISNUMBER(tijd_d),tijd_d,0))+uurtarief_3*(IF(ISNUMBER(tijd_3),tijd_3,0)) +(IF(ISNUMBER(f_vast),f_vast,0)))*(IF(Perio_int="j",1,IF(Perio_int="m",12,IF(Perio_int="w",52,IF(Perio_int="d",365,0)))))*Periodiciteit*aantal_componenten,"")</f>
        <v/>
      </c>
      <c r="AZ26" s="368" t="n"/>
      <c r="BA26" s="542">
        <f>IF(N(Invoer!AE46)=0,"",Invoer!AE46)</f>
        <v/>
      </c>
      <c r="BB26" s="368" t="n"/>
      <c r="BC26" s="542">
        <f>IF(AND(Periodiciteit&lt;&gt;"",Kosten_res_pk&lt;&gt;""), Kosten_res_pk*(IF(Perio_int="j",1,IF(Perio_int="m",12,IF(Perio_int="w",52,IF(Perio_int="d",365,0)))))*Periodiciteit*aantal_componenten,"")</f>
        <v/>
      </c>
      <c r="BD26" s="368" t="n"/>
      <c r="BE26" s="370" t="n"/>
      <c r="BF26" s="368" t="n"/>
      <c r="BG26" s="542">
        <f>IF(Kosten_res_trade &lt;&gt;"", Kosten_res_trade, Kosten_res_jaar )</f>
        <v/>
      </c>
      <c r="BH26" s="368" t="n"/>
      <c r="BI26" s="543">
        <f>IF(N(Invoer!AF46)=0,"",Invoer!AF46)</f>
        <v/>
      </c>
      <c r="BJ26" s="368" t="n"/>
      <c r="BK26" s="543">
        <f>IF(AND(Periodiciteit&lt;&gt;"",Gevolgkosten&lt;&gt;""), Gevolgkosten*(IF(Perio_int="j",1,IF(Perio_int="m",12,IF(Perio_int="w",52,IF(Perio_int="d",365,0)))))*Periodiciteit*aantal_componenten,"")</f>
        <v/>
      </c>
      <c r="BL26" s="368" t="n"/>
      <c r="BM26" s="660">
        <f>N(Invoer!AJ46)</f>
        <v/>
      </c>
      <c r="BN26" s="662">
        <f>N(Invoer!AK46)</f>
        <v/>
      </c>
      <c r="BO26" s="662">
        <f>N(Invoer!AL46)</f>
        <v/>
      </c>
      <c r="BP26" s="662">
        <f>N(Invoer!AM46)</f>
        <v/>
      </c>
      <c r="BQ26" s="368" t="n"/>
      <c r="BR26" s="662">
        <f>N(Invoer!AN46)</f>
        <v/>
      </c>
      <c r="BS26" s="543">
        <f>IF(N(Invoer!AO46)=0,"",Invoer!AO46)</f>
        <v/>
      </c>
      <c r="BT26" s="662">
        <f>N(Invoer!AP46)</f>
        <v/>
      </c>
      <c r="BU26" s="368" t="n"/>
      <c r="BV26" s="662">
        <f>N(Invoer!AQ46)</f>
        <v/>
      </c>
      <c r="BW26" s="663">
        <f>N(Invoer!AR46)</f>
        <v/>
      </c>
      <c r="BX26" s="480" t="n">
        <v>0</v>
      </c>
      <c r="BY26" s="477" t="n">
        <v>0</v>
      </c>
      <c r="BZ26" s="107" t="n"/>
      <c r="CA26" s="64">
        <f>IF(N(Invoer!AG46)=0,"",Invoer!AG46)</f>
        <v/>
      </c>
      <c r="CB26" s="657">
        <f>N(Invoer!AH46)</f>
        <v/>
      </c>
      <c r="CC26" s="657">
        <f>N(Invoer!AI46)</f>
        <v/>
      </c>
      <c r="CD26" s="64">
        <f>IF( OR(CO_rep&lt;&gt;"",CO_verv&lt;&gt;""),IF(lambda_fabrikant&lt;&gt;"",IF(Uitvoeren_missie="N", (1-EXP(-aantal_componenten*lambda_fabrikant*Missieduur*p_gebruik_missie))/Missieduur/aantal_componenten,
IF(doorlooptijd_missie_i &lt;&gt; 0,((aantal_componenten*lambda_fabrikant*(1/doorlooptijd_missie_i)/(aantal_componenten*lambda_fabrikant+1/doorlooptijd_missie_i))*Missieduur*p_gebruik_missie+(aantal_componenten*lambda_fabrikant)^2/(aantal_componenten*lambda_fabrikant+1/doorlooptijd_missie_i)^2*(1-EXP(-(aantal_componenten*lambda_fabrikant+1/doorlooptijd_missie_i)*Missieduur*p_gebruik_missie)))/Missieduur/aantal_componenten,lambda_fabrikant*p_gebruik_missie)),""),"")</f>
        <v/>
      </c>
      <c r="CE26" s="64">
        <f>IF( OR(CO_rep&lt;&gt;"",CO_verv&lt;&gt;""),IF(lambda_fabrikant&lt;&gt;"",IF(uitvoeren_GO = "J", (1-EXP(-(aantal_componenten*lambda_fabrikant*p_gebruik_wal* interval_groot_onderhoud/8760*Missies_per_jaar*walduur)))/ (interval_groot_onderhoud/8760*Missies_per_jaar*walduur) / aantal_componenten,IF(doorlooptijd_wal_i &lt;&gt; 0,((aantal_componenten*lambda_fabrikant*(1/doorlooptijd_wal_i)/(aantal_componenten*lambda_fabrikant+1/doorlooptijd_wal_i))*walduur*p_gebruik_wal+(aantal_componenten*lambda_fabrikant)^2/(aantal_componenten*lambda_fabrikant+1/doorlooptijd_wal_i)^2*(1-EXP(-(aantal_componenten*lambda_fabrikant+1/doorlooptijd_wal_i)*walduur*p_gebruik_wal)))/walduur/aantal_componenten,lambda_fabrikant*p_gebruik_wal)),""),"")</f>
        <v/>
      </c>
      <c r="CF26" s="64">
        <f>IF( OR(CO_rep&lt;&gt;"",CO_verv&lt;&gt;""),
IF(OR(lambda_missie_g&lt;&gt;"",lambda_wal_g&lt;&gt;""), "", IF(Perio_int="j",1/8760, IF(Perio_int="m",12/8760, IF(Perio_int="w",52/8760, IF(Perio_int="d",365/8760,"error") ) ) )*Periodiciteit),"")</f>
        <v/>
      </c>
      <c r="CG26" s="66">
        <f>IF(OR(CO_rep&lt;&gt;"",CO_verv&lt;&gt;""),1,"")</f>
        <v/>
      </c>
      <c r="CH26" s="64">
        <f>IF( OR(CO_rep&lt;&gt;"",CO_verv&lt;&gt;""),IF(lambda_fabrikant="",lambda_kalendertijd*missiepercentage*8760/(Missies_per_jaar*Missieduur),""),"")</f>
        <v/>
      </c>
      <c r="CI26" s="64">
        <f>IF( OR(CO_rep&lt;&gt;"",CO_verv&lt;&gt;""),IF(lambda_fabrikant="",lambda_kalendertijd*(1-missiepercentage)*8760/(Missies_per_jaar*walduur),""),"")</f>
        <v/>
      </c>
      <c r="CJ26" s="64">
        <f>IF( OR(CO_rep&lt;&gt;"",CO_verv&lt;&gt;""),
IF(OR(lambda_missie_g&lt;&gt;"",lambda_wal_g&lt;&gt;""), (lambda_missie_g*Missieduur + lambda_wal_g*walduur)/8760*Missies_per_jaar, lambda_kalendertijd),"")</f>
        <v/>
      </c>
      <c r="CK26" s="64">
        <f>IF(lambda&lt;&gt;"",m_schip*lambda,"")</f>
        <v/>
      </c>
      <c r="CL26" s="65">
        <f>IF(OR(CO_rep&lt;&gt;"",CO_verv&lt;&gt;""),IF(Redundantie = "J","?",1),"")</f>
        <v/>
      </c>
      <c r="CM26" s="64">
        <f>IF(lambda&lt;&gt;"",IF(Redundantie="J",IF(lambda_missie_g&lt;&gt;"",lambda_missie_g*redundantie_factor,lambda_missie*redundantie_factor),IF(lambda_missie_g&lt;&gt;"",lambda_missie_g*m_schip,lambda_missie*m_schip)),"")</f>
        <v/>
      </c>
      <c r="CN26" s="64">
        <f>IF(lambda&lt;&gt;"",lambda_functie*Missieduur*Missies_per_jaar/8760,"")</f>
        <v/>
      </c>
      <c r="CO26" s="64">
        <f>IF(lambda&lt;&gt;"",IF(Redundantie="J",IF(lambda_wal_g&lt;&gt;"",lambda_wal_g*redundantie_factor,lambda_wal*redundantie_factor),IF(lambda_wal_g&lt;&gt;"",lambda_wal_g*m_schip,lambda_wal*m_schip)),"")</f>
        <v/>
      </c>
      <c r="CP26" s="64">
        <f>IF(lambda&lt;&gt;"",lambda_functie_wal*walduur*Missies_per_jaar/8760,"")</f>
        <v/>
      </c>
      <c r="CQ26" s="107" t="n"/>
      <c r="CR26" s="115">
        <f>IF(OR(CO_verv&lt;&gt;"",CO_rep&lt;&gt;""),aantal_componenten,"")</f>
        <v/>
      </c>
      <c r="CS26" s="66">
        <f>IF( OR(CO_rep&lt;&gt;"",CO_verv&lt;&gt;""),IF(Aantal_res_boord=0,1,IF(lambda_missie_g&lt;&gt;"",1-POISSON(Aantal_res_boord-1,m_schip*lambda_missie_g*Missieduur,TRUE),1-POISSON(Aantal_res_boord-1,m_schip*lambda_missie*Missieduur,TRUE))),"")</f>
        <v/>
      </c>
      <c r="CT26" s="107" t="n"/>
      <c r="CU26" s="115">
        <f>IF(OR(CO_verv&lt;&gt;"",CO_rep&lt;&gt;""),Aantal_fregatten * m_schip,"")</f>
        <v/>
      </c>
      <c r="CV26" s="65">
        <f>IF(AND(lambda&gt;0,Aantal_ini_wal&gt;=0,Aantal_res_wal&lt;&gt;""),IF(Aantal_ini_wal&gt;Aantal_res_wal,(Aantal_ini_wal-Aantal_res_wal)/(m_vloot*lambda*8760),0),"")</f>
        <v/>
      </c>
      <c r="CW26" s="65">
        <f>IF(AND(lambda&gt;0,Aantal_max_wal&gt;=0,Aantal_res_wal&lt;&gt;""),IF(Aantal_max_wal&gt;Aantal_res_wal,(Aantal_max_wal-Aantal_res_wal)/(m_vloot*lambda*8760),0),"")</f>
        <v/>
      </c>
      <c r="CX26" s="68">
        <f>IF(AND(ini_periode&lt;&gt;"",bestel_interval&lt;&gt;"",besteltijd&lt;&gt;""),IF(ini_periode&gt;=Looptijd,0,
IF(bestel_interval&gt;=(Looptijd-ini_periode),IF(besteltijd&lt;(Looptijd-ini_periode),besteltijd/8760/Looptijd,(Looptijd-ini_periode)/Looptijd),
IF(((Looptijd-ini_periode)-(INT((Looptijd-ini_periode)/(besteltijd/8760+bestel_interval))))&gt;=besteltijd/8760,(1+INT((Looptijd-ini_periode)/(besteltijd/8760+bestel_interval)))*(besteltijd/8760)/Looptijd,(INT((Looptijd-ini_periode)/(besteltijd/8760+bestel_interval))*(besteltijd/8760)+((Looptijd-ini_periode)-(INT((Looptijd-ini_periode)/(besteltijd/8760+bestel_interval)))*(besteltijd/8760+bestel_interval)))/Looptijd))),"")</f>
        <v/>
      </c>
      <c r="CY26" s="66">
        <f>IF( OR(CO_rep&lt;&gt;"",CO_verv&lt;&gt;""),
IF( Aantal_res_wal+(Aantal_fregatten-1)*Aantal_res_boord=0, 1*IF(percentage_looptijd_inbestelling&lt;&gt;"",percentage_looptijd_inbestelling,1),
(1-POISSON(Aantal_res_wal-1+(Aantal_fregatten-1)*Aantal_res_boord, m_vloot*lambda*besteltijd,TRUE))*IF(percentage_looptijd_inbestelling&lt;&gt;"",percentage_looptijd_inbestelling,1)),"")</f>
        <v/>
      </c>
      <c r="CZ26" s="66">
        <f>IF( OR(CO_rep&lt;&gt;"",CO_verv&lt;&gt;""),IF( Aantal_res_wal=0,1, 1-POISSON(Aantal_res_boord+Aantal_res_wal-1, m_vloot*lambda*besteltijd,TRUE) ),"")</f>
        <v/>
      </c>
      <c r="DA26" s="107" t="n"/>
      <c r="DB26" s="115">
        <f>IF(OR(Uitvoeren_missie&lt;&gt;"J",uitvoeren_bedrijf="J",uitvoeren_GO="J"), "",
IF(TAO_revisie&lt;&gt;"", TAO_rev_verv_tijd,
IF(TAO_vervanging&lt;&gt;"", TAO_rev_verv_tijd,
IF(PO_doorlooptijd&lt;&gt;0, PO_doorlooptijd,"" ))))</f>
        <v/>
      </c>
      <c r="DC26" s="107" t="n"/>
      <c r="DD26" s="115">
        <f>IF(AND(CO_rep&lt;&gt;"", Uitvoeren_missie="N"), Missieduur,
IF(AND(CO_rep&lt;&gt;"", Uitvoeren_missie="J"), CO_zoektijd + CO_rep_verv_tijd,""))</f>
        <v/>
      </c>
      <c r="DE26" s="115">
        <f>IF(AND(CO_verv&lt;&gt;"", Uitvoeren_missie="N"), Missieduur,
IF(AND(CO_verv&lt;&gt;"", Uitvoeren_missie="J"), CO_zoektijd + CO_rep_verv_tijd,""))</f>
        <v/>
      </c>
      <c r="DF26" s="115">
        <f>IF(AND(CO_verv&lt;&gt;"", Uitvoeren_missie="N"), Missieduur,
IF(AND(CO_verv&lt;&gt;"", Uitvoeren_missie="J"), wachttijd_invlieg+CO_zoektijd + CO_rep_verv_tijd,""))</f>
        <v/>
      </c>
      <c r="DG26" s="115">
        <f>IF(AND(CO_verv&lt;&gt;"", Uitvoeren_missie="N"), Missieduur,
IF(AND(CO_verv&lt;&gt;"", Uitvoeren_missie="J"), besteltijd + wachttijd_invlieg + CO_zoektijd + CO_rep_verv_tijd,""))</f>
        <v/>
      </c>
      <c r="DH26" s="115">
        <f> IF(AND(doorlooptijd_missie_met&lt;&gt;"",CO_verv&lt;&gt;""), P_op_boord* ( P_op_vloot*doorlooptijd_missie_zonder + (1-P_op_vloot)*doorlooptijd_invlieg ) + (1-P_op_boord)* doorlooptijd_missie_met, "")</f>
        <v/>
      </c>
      <c r="DI26" s="115">
        <f>IF(CO_rep&lt;&gt;"",doorlooptijd_missie_rep,IF(AND(CO_verv&lt;&gt;"",Aantal_res_boord&lt;&gt;"",Aantal_res_boord&lt;&gt;0),doorlooptijd_missie_met,IF(AND(CO_verv&lt;&gt;"",Aantal_max_wal&lt;&gt;"",Aantal_max_wal&lt;&gt;0),doorlooptijd_invlieg,doorlooptijd_missie_zonder)))</f>
        <v/>
      </c>
      <c r="DJ26" s="115">
        <f>IF(doorlooptijd_missie_verv&lt;&gt;"", doorlooptijd_missie_verv, IF(doorlooptijd_missie_rep&lt;&gt;"", doorlooptijd_missie_rep,""))</f>
        <v/>
      </c>
      <c r="DK26" s="107" t="n"/>
      <c r="DL26" s="115">
        <f> IF(CO_rep&lt;&gt;"", CO_zoektijd + CO_rep_verv_tijd,"")</f>
        <v/>
      </c>
      <c r="DM26" s="115">
        <f> IF(AND(CO_verv&lt;&gt;"",CO_rep=""), wachttijd_wal+CO_zoektijd + CO_rep_verv_tijd,"")</f>
        <v/>
      </c>
      <c r="DN26" s="115">
        <f> IF(AND(CO_verv&lt;&gt;"",CO_rep=""), wachttijd_invlieg+CO_zoektijd + CO_rep_verv_tijd,"")</f>
        <v/>
      </c>
      <c r="DO26" s="115">
        <f>IF(AND(CO_verv&lt;&gt;"",CO_rep=""), besteltijd + wachttijd_wal + CO_zoektijd + CO_rep_verv_tijd,"")</f>
        <v/>
      </c>
      <c r="DP26" s="69">
        <f> IF(AND(doorlooptijd_van_wal&lt;&gt;"",CO_verv&lt;&gt;""), P_op_vloot*doorlooptijd_wal_zonder +
(1-P_op_vloot)*(P_op_wal*Doorlooptijd_transport+ (1-P_op_wal)*doorlooptijd_van_wal ), "")</f>
        <v/>
      </c>
      <c r="DQ26" s="115">
        <f>IF(CO_rep&lt;&gt;"",doorlooptijd_wal_rep,IF(AND(CO_verv&lt;&gt;"",AND(Aantal_res_boord&lt;&gt;"",Aantal_res_boord&lt;&gt;0)),doorlooptijd_van_wal,IF(AND(CO_verv&lt;&gt;"",AND(Aantal_max_wal&lt;&gt;"",Aantal_max_wal&lt;&gt;0)),Doorlooptijd_transport,doorlooptijd_wal_zonder)))</f>
        <v/>
      </c>
      <c r="DR26" s="115">
        <f>IF(doorlooptijd_wal_verv&lt;&gt;"", doorlooptijd_wal_verv, IF(doorlooptijd_wal_rep&lt;&gt;"", doorlooptijd_wal_rep,""))</f>
        <v/>
      </c>
      <c r="DS26" s="107" t="n"/>
      <c r="DT26" s="64">
        <f>IF(OR(CO_verv&lt;&gt;"",CO_rep&lt;&gt;""),IF(lambda_functie&lt;&gt;"",ONB_missie_tussenberekening_1 + ONB_missie_tussenberekening_2,""),"")</f>
        <v/>
      </c>
      <c r="DU26" s="64">
        <f>IF(OR(CO_rep&lt;&gt;"",CO_verv&lt;&gt;""),IF(lambda_functie&lt;&gt;"",IF(Uitvoeren_missie="N",1-(1-EXP(-lambda_functie*Missieduur))/(lambda_functie*Missieduur),IF(CO_verv&lt;&gt;"",
(1-P_op_boord)*IF(doorlooptijd_missie_met&lt;&gt;0,lambda_functie/(lambda_functie+(1/doorlooptijd_missie_met))-lambda_functie/((lambda_functie+(1/doorlooptijd_missie_met))^2*Missieduur)*(1-EXP(-(lambda_functie+(1/doorlooptijd_missie_met))*Missieduur)),0)+P_op_boord*((1-P_op_vloot)*IF(doorlooptijd_invlieg&lt;&gt;0,lambda_functie/(lambda_functie+(1 /doorlooptijd_invlieg))-lambda_functie/((lambda_functie+(1/doorlooptijd_invlieg))^2*Missieduur)*(1-EXP(-(lambda_functie+(1/doorlooptijd_invlieg))*Missieduur)),0)+P_op_vloot*IF(doorlooptijd_missie_zonder&lt;&gt;0,lambda_functie/(lambda_functie+(1/doorlooptijd_missie_zonder))-lambda_functie/((lambda_functie+(1/doorlooptijd_missie_zonder))^2*Missieduur)*(1-EXP(-(lambda_functie+(1/doorlooptijd_missie_zonder))*Missieduur)),0)),0)),0),"")</f>
        <v/>
      </c>
      <c r="DV26" s="64">
        <f>IF(OR(CO_rep&lt;&gt;"",CO_verv&lt;&gt;""),IF(lambda_functie&lt;&gt;"",IF(CO_rep&lt;&gt;"",
IF(doorlooptijd_missie_rep&lt;&gt;0,lambda_functie/(lambda_functie+(1/doorlooptijd_missie_rep))-lambda_functie/((lambda_functie+(1/doorlooptijd_missie_rep))^2*Missieduur)*(1-EXP(-(lambda_functie+(1/doorlooptijd_missie_rep))*Missieduur)),0),0)),"")</f>
        <v/>
      </c>
      <c r="DW26" s="66">
        <f>IF(ONB_missie="","",IF(tot_ONB_missie&lt;&gt;0,ONB_missie/tot_ONB_missie,0))</f>
        <v/>
      </c>
      <c r="DX26" s="115">
        <f>IF(Lijst_componenten="","", IF(OR(DT26=0,DT26=""),DX25, IF(DX25="",DT26,1-(1-DT26)*(1-DX25))))</f>
        <v/>
      </c>
      <c r="DY26" s="107" t="n"/>
      <c r="DZ26" s="96">
        <f>IF(OR(CO_rep&lt;&gt;"",CO_verv&lt;&gt;""),IF(uitvoeren_GO="J",ONB_tussenberekening_1,IF(CO_rep&lt;&gt;"",ONB_tussenberekening_2,ONB_tussenberekening_3+ONB_tussenberekening_4+ONB_tussenberekening_5)),"")</f>
        <v/>
      </c>
      <c r="EA26" s="96">
        <f>IF(OR(CO_rep&lt;&gt;"",CO_verv&lt;&gt;""),IF(AND(OR(lambda_functie_kalendertijd&lt;&gt;"",lambda_functie_wal_kalendertijd&lt;&gt;""),uitvoeren_GO="J"),
1-(1-EXP(-(lambda_functie_kalendertijd+lambda_functie_wal_kalendertijd)*interval_groot_onderhoud))
/((lambda_functie_kalendertijd+lambda_functie_wal_kalendertijd)*interval_groot_onderhoud),0),"")</f>
        <v/>
      </c>
      <c r="EB26" s="96">
        <f>IF(OR(CO_rep&lt;&gt;"",CO_verv&lt;&gt;""),IF(AND(CO_rep &lt;&gt;"",OR(doorlooptijd_missie_rep&gt;=walduur,doorlooptijd_wal_rep &gt;= walduur)),IF(doorlooptijd_missie_rep &gt;= walduur,lambda_functie_kalendertijd / (lambda_functie_kalendertijd + 1/doorlooptijd_missie_rep),0)
+ IF(doorlooptijd_wal_rep &gt;= walduur,lambda_functie_wal_kalendertijd / (lambda_functie_wal_kalendertijd + 1/doorlooptijd_wal_rep),0),IF(CO_rep &lt;&gt; "",(1 -EXP(-(lambda_functie_wal_kalendertijd + 1 / doorlooptijd_wal_rep)*walduur))
* lambda_functie_wal_kalendertijd / (lambda_functie_wal_kalendertijd + 1/ doorlooptijd_wal_rep),0)),"")</f>
        <v/>
      </c>
      <c r="EC26" s="96">
        <f>IF(OR(CO_rep&lt;&gt;"",CO_verv&lt;&gt;""),IF(CO_verv&lt;&gt;"",
P_op_boord* ( P_op_vloot*IF(doorlooptijd_missie_zonder&gt;=walduur, lambda_functie_kalendertijd / (lambda_functie_kalendertijd + 1/doorlooptijd_missie_zonder),0)+ (1- P_op_vloot)*IF(doorlooptijd_invlieg&gt;=walduur, lambda_functie_kalendertijd / (lambda_functie_kalendertijd + 1 /doorlooptijd_invlieg),0) )
+ (1- P_op_boord) * IF(doorlooptijd_missie_met&gt;=walduur,lambda_functie_kalendertijd / (lambda_functie_kalendertijd + 1 / doorlooptijd_missie_met),0),0),"")</f>
        <v/>
      </c>
      <c r="ED26" s="96">
        <f>IF(OR(CO_rep&lt;&gt;"",CO_verv&lt;&gt;""),IF(CO_verv &lt;&gt;"",
(1-P_op_vloot)*((1 - P_op_wal)*IF(doorlooptijd_van_wal&gt;=walduur,lambda_functie_wal_kalendertijd/(lambda_functie_wal_kalendertijd+ 1/ doorlooptijd_van_wal),0)
+ P_op_wal*IF(Doorlooptijd_transport&gt;=walduur,lambda_functie_wal_kalendertijd / (lambda_functie_wal_kalendertijd +1/Doorlooptijd_transport),0) )+ P_op_vloot*IF(doorlooptijd_wal_zonder&gt;=walduur, lambda_functie_wal_kalendertijd / (lambda_functie_wal_kalendertijd + 1/ doorlooptijd_wal_zonder),0),0),"")</f>
        <v/>
      </c>
      <c r="EE26" s="96">
        <f>IF(OR(CO_rep&lt;&gt;"",CO_verv&lt;&gt;""),IF(CO_verv &lt;&gt;"",
(1-P_op_vloot)* ( (1- P_op_wal)* (IF(AND(doorlooptijd_van_wal&lt;&gt;0,doorlooptijd_van_wal&lt;walduur),(1 -EXP(-(lambda_functie_wal_kalendertijd + 1 / doorlooptijd_van_wal)*walduur))
* lambda_functie_wal_kalendertijd / (lambda_functie_wal_kalendertijd + 1/ doorlooptijd_van_wal),0))
+ P_op_wal*(IF(AND(Doorlooptijd_transport&lt;&gt;0,Doorlooptijd_transport&lt;walduur),(1 -EXP(-(lambda_functie_wal_kalendertijd + 1 / Doorlooptijd_transport)*walduur))
* lambda_functie_wal_kalendertijd /(lambda_functie_wal_kalendertijd + 1/ Doorlooptijd_transport),0)))
+ P_op_vloot*(IF(AND(doorlooptijd_wal_zonder&lt;&gt;0,doorlooptijd_wal_zonder&lt;walduur),(1 -EXP(-(lambda_functie_wal_kalendertijd + 1 / doorlooptijd_wal_zonder)*walduur))
* lambda_functie_wal_kalendertijd / (lambda_functie_wal_kalendertijd + 1/ doorlooptijd_wal_zonder),0)),0),"")</f>
        <v/>
      </c>
      <c r="EF26" s="66">
        <f>IF(ONB_aanvang="","",IF(tot_ONB_aanvang&lt;&gt;0,ONB_aanvang/tot_ONB_aanvang,0))</f>
        <v/>
      </c>
      <c r="EG26" s="115">
        <f>IF(Lijst_componenten="","", IF(OR(DZ26=0,DZ26=""),EG25, IF(EG25="",DZ26,1-(1-DZ26)*(1-EG25))))</f>
        <v/>
      </c>
      <c r="EH26" s="107" t="n"/>
      <c r="EI26" s="40">
        <f>IF(Invoer!BE46="","",Invoer!BE46)</f>
        <v/>
      </c>
      <c r="EJ26" s="71" t="n"/>
      <c r="EK26" s="120" t="n"/>
      <c r="EL26" s="119" t="n"/>
      <c r="EM26" s="107" t="n"/>
      <c r="EN26" s="72" t="n"/>
      <c r="EO26" s="107" t="n"/>
      <c r="EP26" s="107" t="n"/>
      <c r="EQ26" s="119" t="n"/>
      <c r="ER26" s="120" t="n"/>
      <c r="ES26" s="119" t="n"/>
      <c r="ET26" s="119" t="n"/>
      <c r="EU26" s="115">
        <f>IF(Invoer!AS46="","",Invoer!AS46)</f>
        <v/>
      </c>
      <c r="EV26" s="115">
        <f>IF(Invoer!AT46="","",Invoer!AT46)</f>
        <v/>
      </c>
      <c r="EW26" s="115">
        <f>IF(Invoer!AU46="","",Invoer!AU46)</f>
        <v/>
      </c>
      <c r="EX26" s="115">
        <f>IF(Invoer!AV46="","",Invoer!AV46)</f>
        <v/>
      </c>
      <c r="EY26" s="115">
        <f>IF(Invoer!AW46="","",Invoer!AW46)</f>
        <v/>
      </c>
      <c r="EZ26" s="115">
        <f>IF(Invoer!AX46="","",Invoer!AX46)</f>
        <v/>
      </c>
      <c r="FA26" s="115">
        <f>IF(Invoer!AY46="","",Invoer!AY46)</f>
        <v/>
      </c>
      <c r="FB26" s="115">
        <f>IF(Invoer!AZ46="","",Invoer!AZ46)</f>
        <v/>
      </c>
      <c r="FC26" s="115">
        <f>IF(Invoer!BA46="","",Invoer!BA46)</f>
        <v/>
      </c>
      <c r="FD26" s="115">
        <f>IF(Invoer!BB46="","",Invoer!BB46)</f>
        <v/>
      </c>
      <c r="FE26" s="348" t="n"/>
      <c r="FF26" s="118">
        <f>IF(AND(functie_1&lt;&gt;"",lambda&lt;&gt;""),lambda*m_schip,"")</f>
        <v/>
      </c>
      <c r="FG26" s="118">
        <f>IF(functie_1&lt;&gt;"",lambda_functie,"")</f>
        <v/>
      </c>
      <c r="FH26" s="118">
        <f>IF(functie_1&lt;&gt;"",ONB_missie,"")</f>
        <v/>
      </c>
      <c r="FI26" s="115">
        <f>IF(Lijst_componenten="","", IF(OR(FH26=0,FH26=""),FI25, IF(FI25="",FH26,1-(1-FH26)*(1-FI25))))</f>
        <v/>
      </c>
      <c r="FJ26" s="118">
        <f>IF(functie_1&lt;&gt;"",ONB_aanvang,"")</f>
        <v/>
      </c>
      <c r="FK26" s="115">
        <f>IF(Lijst_componenten="","", IF(OR(FJ26=0,FJ26=""),FK25, IF(FK25="",FJ26,1-(1-FJ26)*(1-FK25))))</f>
        <v/>
      </c>
      <c r="FL26" s="107" t="n"/>
      <c r="FM26" s="118">
        <f>IF(AND(functie_2&lt;&gt;"",lambda&lt;&gt;""),lambda*m_schip,"")</f>
        <v/>
      </c>
      <c r="FN26" s="118">
        <f>IF(functie_2&lt;&gt;"",lambda_functie,"")</f>
        <v/>
      </c>
      <c r="FO26" s="118">
        <f>IF(functie_2&lt;&gt;"",ONB_missie,"")</f>
        <v/>
      </c>
      <c r="FP26" s="115">
        <f>IF(Lijst_componenten="","", IF(OR(FO26=0,FO26=""),FP25, IF(FP25="",FO26,1-(1-FO26)*(1-FP25))))</f>
        <v/>
      </c>
      <c r="FQ26" s="118">
        <f>IF(functie_2&lt;&gt;"",ONB_aanvang,"")</f>
        <v/>
      </c>
      <c r="FR26" s="115">
        <f>IF(Lijst_componenten="","", IF(OR(FQ26=0,FQ26=""),FR25, IF(FR25="",FQ26,1-(1-FQ26)*(1-FR25))))</f>
        <v/>
      </c>
      <c r="FS26" s="107" t="n"/>
      <c r="FT26" s="118">
        <f>IF(AND(functie_3&lt;&gt;"",lambda&lt;&gt;""),lambda*m_schip,"")</f>
        <v/>
      </c>
      <c r="FU26" s="118">
        <f>IF(functie_3&lt;&gt;"",lambda_functie,"")</f>
        <v/>
      </c>
      <c r="FV26" s="118">
        <f>IF(functie_3&lt;&gt;"",ONB_missie,"")</f>
        <v/>
      </c>
      <c r="FW26" s="115">
        <f>IF(Lijst_componenten="","", IF(OR(FV26=0,FV26=""),FW25, IF(FW25="",FV26,1-(1-FV26)*(1-FW25))))</f>
        <v/>
      </c>
      <c r="FX26" s="118">
        <f>IF(functie_3&lt;&gt;"",ONB_aanvang,"")</f>
        <v/>
      </c>
      <c r="FY26" s="115">
        <f>IF(Lijst_componenten="","", IF(OR(FX26=0,FX26=""),FY25, IF(FY25="",FX26,1-(1-FX26)*(1-FY25))))</f>
        <v/>
      </c>
      <c r="FZ26" s="107" t="n"/>
      <c r="GA26" s="118">
        <f>IF(AND(functie_4&lt;&gt;"",lambda&lt;&gt;""),lambda*m_schip,"")</f>
        <v/>
      </c>
      <c r="GB26" s="118">
        <f>IF(functie_4&lt;&gt;"",lambda_functie,"")</f>
        <v/>
      </c>
      <c r="GC26" s="118">
        <f>IF(functie_4&lt;&gt;"",ONB_missie,"")</f>
        <v/>
      </c>
      <c r="GD26" s="115">
        <f>IF(Lijst_componenten="","", IF(OR(GC26=0,GC26=""),GD25, IF(GD25="",GC26,1-(1-GC26)*(1-GD25))))</f>
        <v/>
      </c>
      <c r="GE26" s="118">
        <f>IF(functie_4&lt;&gt;"",ONB_aanvang,"")</f>
        <v/>
      </c>
      <c r="GF26" s="115">
        <f>IF(Lijst_componenten="","", IF(OR(GE26=0,GE26=""),GF25, IF(GF25="",GE26,1-(1-GE26)*(1-GF25))))</f>
        <v/>
      </c>
      <c r="GG26" s="107" t="n"/>
      <c r="GH26" s="118">
        <f>IF(AND(functie_5&lt;&gt;"",lambda&lt;&gt;""),lambda*m_schip,"")</f>
        <v/>
      </c>
      <c r="GI26" s="118">
        <f>IF(functie_5&lt;&gt;"",lambda_functie,"")</f>
        <v/>
      </c>
      <c r="GJ26" s="118">
        <f>IF(functie_5&lt;&gt;"",ONB_missie,"")</f>
        <v/>
      </c>
      <c r="GK26" s="115">
        <f>IF(Lijst_componenten="","", IF(OR(GJ26=0,GJ26=""),GK25, IF(GK25="",GJ26,1-(1-GJ26)*(1-GK25))))</f>
        <v/>
      </c>
      <c r="GL26" s="118">
        <f>IF(functie_5&lt;&gt;"",ONB_aanvang,"")</f>
        <v/>
      </c>
      <c r="GM26" s="115">
        <f>IF(Lijst_componenten="","", IF(OR(GL26=0,GL26=""),GM25, IF(GM25="",GL26,1-(1-GL26)*(1-GM25))))</f>
        <v/>
      </c>
      <c r="GN26" s="107" t="n"/>
      <c r="GO26" s="118">
        <f>IF(AND(functie_6&lt;&gt;"",lambda&lt;&gt;""),lambda*m_schip,"")</f>
        <v/>
      </c>
      <c r="GP26" s="118">
        <f>IF(functie_6&lt;&gt;"",lambda_functie,"")</f>
        <v/>
      </c>
      <c r="GQ26" s="118">
        <f>IF(functie_6&lt;&gt;"",ONB_missie,"")</f>
        <v/>
      </c>
      <c r="GR26" s="115">
        <f>IF(Lijst_componenten="","", IF(OR(GQ26=0,GQ26=""),GR25, IF(GR25="",GQ26,1-(1-GQ26)*(1-GR25))))</f>
        <v/>
      </c>
      <c r="GS26" s="118">
        <f>IF(functie_6&lt;&gt;"",ONB_aanvang,"")</f>
        <v/>
      </c>
      <c r="GT26" s="115">
        <f>IF(Lijst_componenten="","", IF(OR(GS26=0,GS26=""),GT25, IF(GT25="",GS26,1-(1-GS26)*(1-GT25))))</f>
        <v/>
      </c>
      <c r="GU26" s="107" t="n"/>
      <c r="GV26" s="118">
        <f>IF(AND(functie_7&lt;&gt;"",lambda&lt;&gt;""),lambda*m_schip,"")</f>
        <v/>
      </c>
      <c r="GW26" s="118">
        <f>IF(functie_7&lt;&gt;"",lambda_functie,"")</f>
        <v/>
      </c>
      <c r="GX26" s="118">
        <f>IF(functie_7&lt;&gt;"",ONB_missie,"")</f>
        <v/>
      </c>
      <c r="GY26" s="115">
        <f>IF(Lijst_componenten="","", IF(OR(GX26=0,GX26=""),GY25, IF(GY25="",GX26,1-(1-GX26)*(1-GY25))))</f>
        <v/>
      </c>
      <c r="GZ26" s="118">
        <f>IF(functie_7&lt;&gt;"",ONB_aanvang,"")</f>
        <v/>
      </c>
      <c r="HA26" s="115">
        <f>IF(Lijst_componenten="","", IF(OR(GZ26=0,GZ26=""),HA25, IF(HA25="",GZ26,1-(1-GZ26)*(1-HA25))))</f>
        <v/>
      </c>
      <c r="HB26" s="107" t="n"/>
      <c r="HC26" s="118">
        <f>IF(AND(functie_8&lt;&gt;"",lambda&lt;&gt;""),lambda*m_schip,"")</f>
        <v/>
      </c>
      <c r="HD26" s="118">
        <f>IF(functie_8&lt;&gt;"",lambda_functie,"")</f>
        <v/>
      </c>
      <c r="HE26" s="118">
        <f>IF(functie_8&lt;&gt;"",ONB_missie,"")</f>
        <v/>
      </c>
      <c r="HF26" s="115">
        <f>IF(Lijst_componenten="","", IF(OR(HE26=0,HE26=""),HF25, IF(HF25="",HE26,1-(1-HE26)*(1-HF25))))</f>
        <v/>
      </c>
      <c r="HG26" s="118">
        <f>IF(functie_8&lt;&gt;"",ONB_aanvang,"")</f>
        <v/>
      </c>
      <c r="HH26" s="115">
        <f>IF(Lijst_componenten="","", IF(OR(HG26=0,HG26=""),HH25, IF(HH25="",HG26,1-(1-HG26)*(1-HH25))))</f>
        <v/>
      </c>
      <c r="HI26" s="107" t="n"/>
      <c r="HJ26" s="118">
        <f>IF(AND(functie_9&lt;&gt;"",lambda&lt;&gt;""),lambda*m_schip,"")</f>
        <v/>
      </c>
      <c r="HK26" s="118">
        <f>IF(functie_9&lt;&gt;"",lambda_functie,"")</f>
        <v/>
      </c>
      <c r="HL26" s="118">
        <f>IF(functie_9&lt;&gt;"",ONB_missie,"")</f>
        <v/>
      </c>
      <c r="HM26" s="115">
        <f>IF(Lijst_componenten="","", IF(OR(HL26=0,HL26=""),HM25, IF(HM25="",HL26,1-(1-HL26)*(1-HM25))))</f>
        <v/>
      </c>
      <c r="HN26" s="118">
        <f>IF(functie_9&lt;&gt;"",ONB_aanvang,"")</f>
        <v/>
      </c>
      <c r="HO26" s="115">
        <f>IF(Lijst_componenten="","", IF(OR(HN26=0,HN26=""),HO25, IF(HO25="",HN26,1-(1-HN26)*(1-HO25))))</f>
        <v/>
      </c>
      <c r="HP26" s="107" t="n"/>
      <c r="HQ26" s="118">
        <f>IF(AND(functie_10&lt;&gt;"",lambda&lt;&gt;""),lambda*m_schip,"")</f>
        <v/>
      </c>
      <c r="HR26" s="118">
        <f>IF(functie_10&lt;&gt;"",lambda_functie,"")</f>
        <v/>
      </c>
      <c r="HS26" s="118">
        <f>IF(functie_10&lt;&gt;"",ONB_missie,"")</f>
        <v/>
      </c>
      <c r="HT26" s="115">
        <f>IF(Lijst_componenten="","", IF(OR(HS26=0,HS26=""),HT25, IF(HT25="",HS26,1-(1-HS26)*(1-HT25))))</f>
        <v/>
      </c>
      <c r="HU26" s="118">
        <f>IF(functie_10&lt;&gt;"",ONB_aanvang,"")</f>
        <v/>
      </c>
      <c r="HV26" s="115">
        <f>IF(Lijst_componenten="","", IF(OR(HU26=0,HU26=""),HV25, IF(HV25="",HU26,1-(1-HU26)*(1-HV25))))</f>
        <v/>
      </c>
      <c r="HW26" s="353" t="n"/>
      <c r="HX26" s="113" t="n"/>
      <c r="HY26" s="353" t="n"/>
      <c r="HZ26" s="353" t="n"/>
      <c r="IA26" s="353" t="n"/>
      <c r="IB26" s="353" t="n"/>
      <c r="IC26" s="353" t="n"/>
      <c r="ID26" s="353" t="n"/>
      <c r="IE26" s="353" t="n"/>
      <c r="IF26" s="353" t="n"/>
      <c r="IG26" s="353" t="n"/>
      <c r="IH26" s="353" t="n"/>
      <c r="II26" s="353" t="n"/>
      <c r="IJ26" s="353" t="n"/>
      <c r="IK26" s="353" t="n"/>
      <c r="IL26" s="353" t="n"/>
      <c r="IM26" s="353" t="n"/>
      <c r="IN26" s="353" t="n"/>
      <c r="IO26" s="353" t="n"/>
      <c r="IP26" s="353" t="n"/>
      <c r="IQ26" s="353" t="n"/>
      <c r="IR26" s="353" t="n"/>
      <c r="IS26" s="353" t="n"/>
      <c r="IT26" s="353" t="n"/>
      <c r="IU26" s="353" t="n"/>
      <c r="IV26" s="353" t="n"/>
    </row>
    <row r="27" ht="12" customFormat="1" customHeight="1" s="353">
      <c r="A27" s="99" t="n">
        <v>10</v>
      </c>
      <c r="B27" s="649">
        <f>N(Invoer!B47)</f>
        <v/>
      </c>
      <c r="C27" s="649">
        <f>N(Invoer!C47)</f>
        <v/>
      </c>
      <c r="D27" s="649">
        <f>N(Invoer!D47)</f>
        <v/>
      </c>
      <c r="E27" s="649">
        <f>N(Invoer!E47)</f>
        <v/>
      </c>
      <c r="F27" s="649">
        <f>N(Invoer!F47)</f>
        <v/>
      </c>
      <c r="G27" s="649">
        <f>N(Invoer!G47)</f>
        <v/>
      </c>
      <c r="H27" s="649">
        <f>N(Invoer!H47)</f>
        <v/>
      </c>
      <c r="I27" s="649">
        <f>N(Invoer!I47)</f>
        <v/>
      </c>
      <c r="J27" s="649">
        <f>N(Invoer!J47)</f>
        <v/>
      </c>
      <c r="K27" s="649">
        <f>N(Invoer!K47)</f>
        <v/>
      </c>
      <c r="L27" s="58">
        <f>IF(Invoer!L47="","",Invoer!L47)</f>
        <v/>
      </c>
      <c r="M27" s="650">
        <f>N(Invoer!M47)</f>
        <v/>
      </c>
      <c r="N27" s="58">
        <f>IF(Invoer!N47="","",Invoer!N47)</f>
        <v/>
      </c>
      <c r="O27" s="119" t="n"/>
      <c r="P27" s="96">
        <f>IF(Invoer!BK47="","",Invoer!BK47)</f>
        <v/>
      </c>
      <c r="Q27" s="96">
        <f>IF(Invoer!BL47="","",Invoer!BL47)</f>
        <v/>
      </c>
      <c r="R27" s="96">
        <f>IF(Invoer!BM47="","",Invoer!BM47)</f>
        <v/>
      </c>
      <c r="S27" s="96">
        <f>IF(Invoer!BN47="","",Invoer!BN47)</f>
        <v/>
      </c>
      <c r="T27" s="96">
        <f>IF(Invoer!BO47="","",Invoer!BO47)</f>
        <v/>
      </c>
      <c r="U27" s="96">
        <f>IF(Invoer!BP47="","",Invoer!BP47)</f>
        <v/>
      </c>
      <c r="V27" s="60" t="n"/>
      <c r="W27" s="115">
        <f>IF(Invoer!BQ47="","",Invoer!BQ47)</f>
        <v/>
      </c>
      <c r="X27" s="115">
        <f>IF(Invoer!BR47="","",Invoer!BR47)</f>
        <v/>
      </c>
      <c r="Y27" s="60" t="n"/>
      <c r="Z27" s="115">
        <f>IF(Invoer!BS47="","",Invoer!BS47)</f>
        <v/>
      </c>
      <c r="AA27" s="115">
        <f>IF(Invoer!BT47="","",Invoer!BT47)</f>
        <v/>
      </c>
      <c r="AB27" s="115">
        <f>IF(Invoer!P47="","",Invoer!P47)</f>
        <v/>
      </c>
      <c r="AC27" s="60" t="n"/>
      <c r="AD27" s="34">
        <f>IF(Invoer!Q47="","",Invoer!Q47)</f>
        <v/>
      </c>
      <c r="AE27" s="110" t="n"/>
      <c r="AF27" s="96">
        <f>IF(Invoer!R47="","",Invoer!R47)</f>
        <v/>
      </c>
      <c r="AG27" s="107" t="n"/>
      <c r="AH27" s="107" t="n"/>
      <c r="AI27" s="658">
        <f>IF(N(Invoer!S47)=0,"",Invoer!S47)</f>
        <v/>
      </c>
      <c r="AJ27" s="659">
        <f>IF(Invoer!T47="","",Invoer!T47)</f>
        <v/>
      </c>
      <c r="AK27" s="365" t="n"/>
      <c r="AL27" s="659">
        <f>IF(Invoer!U47="","",Invoer!U47)</f>
        <v/>
      </c>
      <c r="AM27" s="659">
        <f>IF(Invoer!V47="","",Invoer!V47)</f>
        <v/>
      </c>
      <c r="AN27" s="659">
        <f>IF(Invoer!W47="","",Invoer!W47)</f>
        <v/>
      </c>
      <c r="AO27" s="368" t="n"/>
      <c r="AP27" s="660">
        <f>N(Invoer!X47)</f>
        <v/>
      </c>
      <c r="AQ27" s="660">
        <f>N(Invoer!Y47)</f>
        <v/>
      </c>
      <c r="AR27" s="660">
        <f>N(Invoer!Z47)</f>
        <v/>
      </c>
      <c r="AS27" s="660">
        <f>N(Invoer!AA47)</f>
        <v/>
      </c>
      <c r="AT27" s="660">
        <f>N(Invoer!AB47)</f>
        <v/>
      </c>
      <c r="AU27" s="660">
        <f>N(Invoer!AC47)</f>
        <v/>
      </c>
      <c r="AV27" s="368" t="n"/>
      <c r="AW27" s="661">
        <f>N(Invoer!AD47)</f>
        <v/>
      </c>
      <c r="AX27" s="368" t="n"/>
      <c r="AY27" s="541">
        <f>IF(Periodiciteit&lt;&gt;"",(uurtarief_wd*(IF(ISNUMBER(tijd_wd),tijd_wd,0))+uurtarief_td*(IF(ISNUMBER(tijd_td),tijd_td,0))+uurtarief_sb*(IF(ISNUMBER(tijd_sb),tijd_sb,0))+uurtarief_rw*(IF(ISNUMBER(tijd_rw),tijd_rw,0))+uurtarief_d*(IF(ISNUMBER(tijd_d),tijd_d,0))+uurtarief_3*(IF(ISNUMBER(tijd_3),tijd_3,0)) +(IF(ISNUMBER(f_vast),f_vast,0)))*(IF(Perio_int="j",1,IF(Perio_int="m",12,IF(Perio_int="w",52,IF(Perio_int="d",365,0)))))*Periodiciteit*aantal_componenten,"")</f>
        <v/>
      </c>
      <c r="AZ27" s="368" t="n"/>
      <c r="BA27" s="542">
        <f>IF(N(Invoer!AE47)=0,"",Invoer!AE47)</f>
        <v/>
      </c>
      <c r="BB27" s="368" t="n"/>
      <c r="BC27" s="542">
        <f>IF(AND(Periodiciteit&lt;&gt;"",Kosten_res_pk&lt;&gt;""), Kosten_res_pk*(IF(Perio_int="j",1,IF(Perio_int="m",12,IF(Perio_int="w",52,IF(Perio_int="d",365,0)))))*Periodiciteit*aantal_componenten,"")</f>
        <v/>
      </c>
      <c r="BD27" s="368" t="n"/>
      <c r="BE27" s="370" t="n"/>
      <c r="BF27" s="368" t="n"/>
      <c r="BG27" s="542">
        <f>IF(Kosten_res_trade &lt;&gt;"", Kosten_res_trade, Kosten_res_jaar )</f>
        <v/>
      </c>
      <c r="BH27" s="368" t="n"/>
      <c r="BI27" s="543">
        <f>IF(N(Invoer!AF47)=0,"",Invoer!AF47)</f>
        <v/>
      </c>
      <c r="BJ27" s="368" t="n"/>
      <c r="BK27" s="543">
        <f>IF(AND(Periodiciteit&lt;&gt;"",Gevolgkosten&lt;&gt;""), Gevolgkosten*(IF(Perio_int="j",1,IF(Perio_int="m",12,IF(Perio_int="w",52,IF(Perio_int="d",365,0)))))*Periodiciteit*aantal_componenten,"")</f>
        <v/>
      </c>
      <c r="BL27" s="368" t="n"/>
      <c r="BM27" s="660">
        <f>N(Invoer!AJ47)</f>
        <v/>
      </c>
      <c r="BN27" s="662">
        <f>N(Invoer!AK47)</f>
        <v/>
      </c>
      <c r="BO27" s="662">
        <f>N(Invoer!AL47)</f>
        <v/>
      </c>
      <c r="BP27" s="662">
        <f>N(Invoer!AM47)</f>
        <v/>
      </c>
      <c r="BQ27" s="368" t="n"/>
      <c r="BR27" s="662">
        <f>N(Invoer!AN47)</f>
        <v/>
      </c>
      <c r="BS27" s="543">
        <f>IF(N(Invoer!AO47)=0,"",Invoer!AO47)</f>
        <v/>
      </c>
      <c r="BT27" s="662">
        <f>N(Invoer!AP47)</f>
        <v/>
      </c>
      <c r="BU27" s="368" t="n"/>
      <c r="BV27" s="662">
        <f>N(Invoer!AQ47)</f>
        <v/>
      </c>
      <c r="BW27" s="663">
        <f>N(Invoer!AR47)</f>
        <v/>
      </c>
      <c r="BX27" s="480" t="n"/>
      <c r="BY27" s="477" t="n"/>
      <c r="BZ27" s="107" t="n"/>
      <c r="CA27" s="64">
        <f>IF(N(Invoer!AG47)=0,"",Invoer!AG47)</f>
        <v/>
      </c>
      <c r="CB27" s="657">
        <f>N(Invoer!AH47)</f>
        <v/>
      </c>
      <c r="CC27" s="657">
        <f>N(Invoer!AI47)</f>
        <v/>
      </c>
      <c r="CD27" s="64">
        <f>IF( OR(CO_rep&lt;&gt;"",CO_verv&lt;&gt;""),IF(lambda_fabrikant&lt;&gt;"",IF(Uitvoeren_missie="N", (1-EXP(-aantal_componenten*lambda_fabrikant*Missieduur*p_gebruik_missie))/Missieduur/aantal_componenten,
IF(doorlooptijd_missie_i &lt;&gt; 0,((aantal_componenten*lambda_fabrikant*(1/doorlooptijd_missie_i)/(aantal_componenten*lambda_fabrikant+1/doorlooptijd_missie_i))*Missieduur*p_gebruik_missie+(aantal_componenten*lambda_fabrikant)^2/(aantal_componenten*lambda_fabrikant+1/doorlooptijd_missie_i)^2*(1-EXP(-(aantal_componenten*lambda_fabrikant+1/doorlooptijd_missie_i)*Missieduur*p_gebruik_missie)))/Missieduur/aantal_componenten,lambda_fabrikant*p_gebruik_missie)),""),"")</f>
        <v/>
      </c>
      <c r="CE27" s="64">
        <f>IF( OR(CO_rep&lt;&gt;"",CO_verv&lt;&gt;""),IF(lambda_fabrikant&lt;&gt;"",IF(uitvoeren_GO = "J", (1-EXP(-(aantal_componenten*lambda_fabrikant*p_gebruik_wal* interval_groot_onderhoud/8760*Missies_per_jaar*walduur)))/ (interval_groot_onderhoud/8760*Missies_per_jaar*walduur) / aantal_componenten,IF(doorlooptijd_wal_i &lt;&gt; 0,((aantal_componenten*lambda_fabrikant*(1/doorlooptijd_wal_i)/(aantal_componenten*lambda_fabrikant+1/doorlooptijd_wal_i))*walduur*p_gebruik_wal+(aantal_componenten*lambda_fabrikant)^2/(aantal_componenten*lambda_fabrikant+1/doorlooptijd_wal_i)^2*(1-EXP(-(aantal_componenten*lambda_fabrikant+1/doorlooptijd_wal_i)*walduur*p_gebruik_wal)))/walduur/aantal_componenten,lambda_fabrikant*p_gebruik_wal)),""),"")</f>
        <v/>
      </c>
      <c r="CF27" s="64">
        <f>IF( OR(CO_rep&lt;&gt;"",CO_verv&lt;&gt;""),
IF(OR(lambda_missie_g&lt;&gt;"",lambda_wal_g&lt;&gt;""), "", IF(Perio_int="j",1/8760, IF(Perio_int="m",12/8760, IF(Perio_int="w",52/8760, IF(Perio_int="d",365/8760,"error") ) ) )*Periodiciteit),"")</f>
        <v/>
      </c>
      <c r="CG27" s="66">
        <f>IF(OR(CO_rep&lt;&gt;"",CO_verv&lt;&gt;""),1,"")</f>
        <v/>
      </c>
      <c r="CH27" s="64">
        <f>IF( OR(CO_rep&lt;&gt;"",CO_verv&lt;&gt;""),IF(lambda_fabrikant="",lambda_kalendertijd*missiepercentage*8760/(Missies_per_jaar*Missieduur),""),"")</f>
        <v/>
      </c>
      <c r="CI27" s="64">
        <f>IF( OR(CO_rep&lt;&gt;"",CO_verv&lt;&gt;""),IF(lambda_fabrikant="",lambda_kalendertijd*(1-missiepercentage)*8760/(Missies_per_jaar*walduur),""),"")</f>
        <v/>
      </c>
      <c r="CJ27" s="64">
        <f>IF( OR(CO_rep&lt;&gt;"",CO_verv&lt;&gt;""),
IF(OR(lambda_missie_g&lt;&gt;"",lambda_wal_g&lt;&gt;""), (lambda_missie_g*Missieduur + lambda_wal_g*walduur)/8760*Missies_per_jaar, lambda_kalendertijd),"")</f>
        <v/>
      </c>
      <c r="CK27" s="64">
        <f>IF(lambda&lt;&gt;"",m_schip*lambda,"")</f>
        <v/>
      </c>
      <c r="CL27" s="65">
        <f>IF(OR(CO_rep&lt;&gt;"",CO_verv&lt;&gt;""),IF(Redundantie = "J","?",1),"")</f>
        <v/>
      </c>
      <c r="CM27" s="64">
        <f>IF(lambda&lt;&gt;"",IF(Redundantie="J",IF(lambda_missie_g&lt;&gt;"",lambda_missie_g*redundantie_factor,lambda_missie*redundantie_factor),IF(lambda_missie_g&lt;&gt;"",lambda_missie_g*m_schip,lambda_missie*m_schip)),"")</f>
        <v/>
      </c>
      <c r="CN27" s="64">
        <f>IF(lambda&lt;&gt;"",lambda_functie*Missieduur*Missies_per_jaar/8760,"")</f>
        <v/>
      </c>
      <c r="CO27" s="64">
        <f>IF(lambda&lt;&gt;"",IF(Redundantie="J",IF(lambda_wal_g&lt;&gt;"",lambda_wal_g*redundantie_factor,lambda_wal*redundantie_factor),IF(lambda_wal_g&lt;&gt;"",lambda_wal_g*m_schip,lambda_wal*m_schip)),"")</f>
        <v/>
      </c>
      <c r="CP27" s="64">
        <f>IF(lambda&lt;&gt;"",lambda_functie_wal*walduur*Missies_per_jaar/8760,"")</f>
        <v/>
      </c>
      <c r="CQ27" s="107" t="n"/>
      <c r="CR27" s="115">
        <f>IF(OR(CO_verv&lt;&gt;"",CO_rep&lt;&gt;""),aantal_componenten,"")</f>
        <v/>
      </c>
      <c r="CS27" s="66">
        <f>IF( OR(CO_rep&lt;&gt;"",CO_verv&lt;&gt;""),IF(Aantal_res_boord=0,1,IF(lambda_missie_g&lt;&gt;"",1-POISSON(Aantal_res_boord-1,m_schip*lambda_missie_g*Missieduur,TRUE),1-POISSON(Aantal_res_boord-1,m_schip*lambda_missie*Missieduur,TRUE))),"")</f>
        <v/>
      </c>
      <c r="CT27" s="107" t="n"/>
      <c r="CU27" s="115">
        <f>IF(OR(CO_verv&lt;&gt;"",CO_rep&lt;&gt;""),Aantal_fregatten * m_schip,"")</f>
        <v/>
      </c>
      <c r="CV27" s="65">
        <f>IF(AND(lambda&gt;0,Aantal_ini_wal&gt;=0,Aantal_res_wal&lt;&gt;""),IF(Aantal_ini_wal&gt;Aantal_res_wal,(Aantal_ini_wal-Aantal_res_wal)/(m_vloot*lambda*8760),0),"")</f>
        <v/>
      </c>
      <c r="CW27" s="65">
        <f>IF(AND(lambda&gt;0,Aantal_max_wal&gt;=0,Aantal_res_wal&lt;&gt;""),IF(Aantal_max_wal&gt;Aantal_res_wal,(Aantal_max_wal-Aantal_res_wal)/(m_vloot*lambda*8760),0),"")</f>
        <v/>
      </c>
      <c r="CX27" s="68">
        <f>IF(AND(ini_periode&lt;&gt;"",bestel_interval&lt;&gt;"",besteltijd&lt;&gt;""),IF(ini_periode&gt;=Looptijd,0,
IF(bestel_interval&gt;=(Looptijd-ini_periode),IF(besteltijd&lt;(Looptijd-ini_periode),besteltijd/8760/Looptijd,(Looptijd-ini_periode)/Looptijd),
IF(((Looptijd-ini_periode)-(INT((Looptijd-ini_periode)/(besteltijd/8760+bestel_interval))))&gt;=besteltijd/8760,(1+INT((Looptijd-ini_periode)/(besteltijd/8760+bestel_interval)))*(besteltijd/8760)/Looptijd,(INT((Looptijd-ini_periode)/(besteltijd/8760+bestel_interval))*(besteltijd/8760)+((Looptijd-ini_periode)-(INT((Looptijd-ini_periode)/(besteltijd/8760+bestel_interval)))*(besteltijd/8760+bestel_interval)))/Looptijd))),"")</f>
        <v/>
      </c>
      <c r="CY27" s="66">
        <f>IF( OR(CO_rep&lt;&gt;"",CO_verv&lt;&gt;""),
IF( Aantal_res_wal+(Aantal_fregatten-1)*Aantal_res_boord=0, 1*IF(percentage_looptijd_inbestelling&lt;&gt;"",percentage_looptijd_inbestelling,1),
(1-POISSON(Aantal_res_wal-1+(Aantal_fregatten-1)*Aantal_res_boord, m_vloot*lambda*besteltijd,TRUE))*IF(percentage_looptijd_inbestelling&lt;&gt;"",percentage_looptijd_inbestelling,1)),"")</f>
        <v/>
      </c>
      <c r="CZ27" s="66">
        <f>IF( OR(CO_rep&lt;&gt;"",CO_verv&lt;&gt;""),IF( Aantal_res_wal=0,1, 1-POISSON(Aantal_res_boord+Aantal_res_wal-1, m_vloot*lambda*besteltijd,TRUE) ),"")</f>
        <v/>
      </c>
      <c r="DA27" s="107" t="n"/>
      <c r="DB27" s="115">
        <f>IF(OR(Uitvoeren_missie&lt;&gt;"J",uitvoeren_bedrijf="J",uitvoeren_GO="J"), "",
IF(TAO_revisie&lt;&gt;"", TAO_rev_verv_tijd,
IF(TAO_vervanging&lt;&gt;"", TAO_rev_verv_tijd,
IF(PO_doorlooptijd&lt;&gt;0, PO_doorlooptijd,"" ))))</f>
        <v/>
      </c>
      <c r="DC27" s="107" t="n"/>
      <c r="DD27" s="115">
        <f>IF(AND(CO_rep&lt;&gt;"", Uitvoeren_missie="N"), Missieduur,
IF(AND(CO_rep&lt;&gt;"", Uitvoeren_missie="J"), CO_zoektijd + CO_rep_verv_tijd,""))</f>
        <v/>
      </c>
      <c r="DE27" s="115">
        <f>IF(AND(CO_verv&lt;&gt;"", Uitvoeren_missie="N"), Missieduur,
IF(AND(CO_verv&lt;&gt;"", Uitvoeren_missie="J"), CO_zoektijd + CO_rep_verv_tijd,""))</f>
        <v/>
      </c>
      <c r="DF27" s="115">
        <f>IF(AND(CO_verv&lt;&gt;"", Uitvoeren_missie="N"), Missieduur,
IF(AND(CO_verv&lt;&gt;"", Uitvoeren_missie="J"), wachttijd_invlieg+CO_zoektijd + CO_rep_verv_tijd,""))</f>
        <v/>
      </c>
      <c r="DG27" s="115">
        <f>IF(AND(CO_verv&lt;&gt;"", Uitvoeren_missie="N"), Missieduur,
IF(AND(CO_verv&lt;&gt;"", Uitvoeren_missie="J"), besteltijd + wachttijd_invlieg + CO_zoektijd + CO_rep_verv_tijd,""))</f>
        <v/>
      </c>
      <c r="DH27" s="115">
        <f> IF(AND(doorlooptijd_missie_met&lt;&gt;"",CO_verv&lt;&gt;""), P_op_boord* ( P_op_vloot*doorlooptijd_missie_zonder + (1-P_op_vloot)*doorlooptijd_invlieg ) + (1-P_op_boord)* doorlooptijd_missie_met, "")</f>
        <v/>
      </c>
      <c r="DI27" s="115">
        <f>IF(CO_rep&lt;&gt;"",doorlooptijd_missie_rep,IF(AND(CO_verv&lt;&gt;"",Aantal_res_boord&lt;&gt;"",Aantal_res_boord&lt;&gt;0),doorlooptijd_missie_met,IF(AND(CO_verv&lt;&gt;"",Aantal_max_wal&lt;&gt;"",Aantal_max_wal&lt;&gt;0),doorlooptijd_invlieg,doorlooptijd_missie_zonder)))</f>
        <v/>
      </c>
      <c r="DJ27" s="115">
        <f>IF(doorlooptijd_missie_verv&lt;&gt;"", doorlooptijd_missie_verv, IF(doorlooptijd_missie_rep&lt;&gt;"", doorlooptijd_missie_rep,""))</f>
        <v/>
      </c>
      <c r="DK27" s="107" t="n"/>
      <c r="DL27" s="115">
        <f> IF(CO_rep&lt;&gt;"", CO_zoektijd + CO_rep_verv_tijd,"")</f>
        <v/>
      </c>
      <c r="DM27" s="115">
        <f> IF(AND(CO_verv&lt;&gt;"",CO_rep=""), wachttijd_wal+CO_zoektijd + CO_rep_verv_tijd,"")</f>
        <v/>
      </c>
      <c r="DN27" s="115">
        <f> IF(AND(CO_verv&lt;&gt;"",CO_rep=""), wachttijd_invlieg+CO_zoektijd + CO_rep_verv_tijd,"")</f>
        <v/>
      </c>
      <c r="DO27" s="115">
        <f>IF(AND(CO_verv&lt;&gt;"",CO_rep=""), besteltijd + wachttijd_wal + CO_zoektijd + CO_rep_verv_tijd,"")</f>
        <v/>
      </c>
      <c r="DP27" s="69">
        <f> IF(AND(doorlooptijd_van_wal&lt;&gt;"",CO_verv&lt;&gt;""), P_op_vloot*doorlooptijd_wal_zonder +
(1-P_op_vloot)*(P_op_wal*Doorlooptijd_transport+ (1-P_op_wal)*doorlooptijd_van_wal ), "")</f>
        <v/>
      </c>
      <c r="DQ27" s="115">
        <f>IF(CO_rep&lt;&gt;"",doorlooptijd_wal_rep,IF(AND(CO_verv&lt;&gt;"",AND(Aantal_res_boord&lt;&gt;"",Aantal_res_boord&lt;&gt;0)),doorlooptijd_van_wal,IF(AND(CO_verv&lt;&gt;"",AND(Aantal_max_wal&lt;&gt;"",Aantal_max_wal&lt;&gt;0)),Doorlooptijd_transport,doorlooptijd_wal_zonder)))</f>
        <v/>
      </c>
      <c r="DR27" s="115">
        <f>IF(doorlooptijd_wal_verv&lt;&gt;"", doorlooptijd_wal_verv, IF(doorlooptijd_wal_rep&lt;&gt;"", doorlooptijd_wal_rep,""))</f>
        <v/>
      </c>
      <c r="DS27" s="107" t="n"/>
      <c r="DT27" s="64">
        <f>IF(OR(CO_verv&lt;&gt;"",CO_rep&lt;&gt;""),IF(lambda_functie&lt;&gt;"",ONB_missie_tussenberekening_1 + ONB_missie_tussenberekening_2,""),"")</f>
        <v/>
      </c>
      <c r="DU27" s="64">
        <f>IF(OR(CO_rep&lt;&gt;"",CO_verv&lt;&gt;""),IF(lambda_functie&lt;&gt;"",IF(Uitvoeren_missie="N",1-(1-EXP(-lambda_functie*Missieduur))/(lambda_functie*Missieduur),IF(CO_verv&lt;&gt;"",
(1-P_op_boord)*IF(doorlooptijd_missie_met&lt;&gt;0,lambda_functie/(lambda_functie+(1/doorlooptijd_missie_met))-lambda_functie/((lambda_functie+(1/doorlooptijd_missie_met))^2*Missieduur)*(1-EXP(-(lambda_functie+(1/doorlooptijd_missie_met))*Missieduur)),0)+P_op_boord*((1-P_op_vloot)*IF(doorlooptijd_invlieg&lt;&gt;0,lambda_functie/(lambda_functie+(1 /doorlooptijd_invlieg))-lambda_functie/((lambda_functie+(1/doorlooptijd_invlieg))^2*Missieduur)*(1-EXP(-(lambda_functie+(1/doorlooptijd_invlieg))*Missieduur)),0)+P_op_vloot*IF(doorlooptijd_missie_zonder&lt;&gt;0,lambda_functie/(lambda_functie+(1/doorlooptijd_missie_zonder))-lambda_functie/((lambda_functie+(1/doorlooptijd_missie_zonder))^2*Missieduur)*(1-EXP(-(lambda_functie+(1/doorlooptijd_missie_zonder))*Missieduur)),0)),0)),0),"")</f>
        <v/>
      </c>
      <c r="DV27" s="64">
        <f>IF(OR(CO_rep&lt;&gt;"",CO_verv&lt;&gt;""),IF(lambda_functie&lt;&gt;"",IF(CO_rep&lt;&gt;"",
IF(doorlooptijd_missie_rep&lt;&gt;0,lambda_functie/(lambda_functie+(1/doorlooptijd_missie_rep))-lambda_functie/((lambda_functie+(1/doorlooptijd_missie_rep))^2*Missieduur)*(1-EXP(-(lambda_functie+(1/doorlooptijd_missie_rep))*Missieduur)),0),0)),"")</f>
        <v/>
      </c>
      <c r="DW27" s="66">
        <f>IF(ONB_missie="","",IF(tot_ONB_missie&lt;&gt;0,ONB_missie/tot_ONB_missie,0))</f>
        <v/>
      </c>
      <c r="DX27" s="115">
        <f>IF(Lijst_componenten="","", IF(OR(DT27=0,DT27=""),DX26, IF(DX26="",DT27,1-(1-DT27)*(1-DX26))))</f>
        <v/>
      </c>
      <c r="DY27" s="107" t="n"/>
      <c r="DZ27" s="96">
        <f>IF(OR(CO_rep&lt;&gt;"",CO_verv&lt;&gt;""),IF(uitvoeren_GO="J",ONB_tussenberekening_1,IF(CO_rep&lt;&gt;"",ONB_tussenberekening_2,ONB_tussenberekening_3+ONB_tussenberekening_4+ONB_tussenberekening_5)),"")</f>
        <v/>
      </c>
      <c r="EA27" s="96">
        <f>IF(OR(CO_rep&lt;&gt;"",CO_verv&lt;&gt;""),IF(AND(OR(lambda_functie_kalendertijd&lt;&gt;"",lambda_functie_wal_kalendertijd&lt;&gt;""),uitvoeren_GO="J"),
1-(1-EXP(-(lambda_functie_kalendertijd+lambda_functie_wal_kalendertijd)*interval_groot_onderhoud))
/((lambda_functie_kalendertijd+lambda_functie_wal_kalendertijd)*interval_groot_onderhoud),0),"")</f>
        <v/>
      </c>
      <c r="EB27" s="96">
        <f>IF(OR(CO_rep&lt;&gt;"",CO_verv&lt;&gt;""),IF(AND(CO_rep &lt;&gt;"",OR(doorlooptijd_missie_rep&gt;=walduur,doorlooptijd_wal_rep &gt;= walduur)),IF(doorlooptijd_missie_rep &gt;= walduur,lambda_functie_kalendertijd / (lambda_functie_kalendertijd + 1/doorlooptijd_missie_rep),0)
+ IF(doorlooptijd_wal_rep &gt;= walduur,lambda_functie_wal_kalendertijd / (lambda_functie_wal_kalendertijd + 1/doorlooptijd_wal_rep),0),IF(CO_rep &lt;&gt; "",(1 -EXP(-(lambda_functie_wal_kalendertijd + 1 / doorlooptijd_wal_rep)*walduur))
* lambda_functie_wal_kalendertijd / (lambda_functie_wal_kalendertijd + 1/ doorlooptijd_wal_rep),0)),"")</f>
        <v/>
      </c>
      <c r="EC27" s="96">
        <f>IF(OR(CO_rep&lt;&gt;"",CO_verv&lt;&gt;""),IF(CO_verv&lt;&gt;"",
P_op_boord* ( P_op_vloot*IF(doorlooptijd_missie_zonder&gt;=walduur, lambda_functie_kalendertijd / (lambda_functie_kalendertijd + 1/doorlooptijd_missie_zonder),0)+ (1- P_op_vloot)*IF(doorlooptijd_invlieg&gt;=walduur, lambda_functie_kalendertijd / (lambda_functie_kalendertijd + 1 /doorlooptijd_invlieg),0) )
+ (1- P_op_boord) * IF(doorlooptijd_missie_met&gt;=walduur,lambda_functie_kalendertijd / (lambda_functie_kalendertijd + 1 / doorlooptijd_missie_met),0),0),"")</f>
        <v/>
      </c>
      <c r="ED27" s="96">
        <f>IF(OR(CO_rep&lt;&gt;"",CO_verv&lt;&gt;""),IF(CO_verv &lt;&gt;"",
(1-P_op_vloot)*((1 - P_op_wal)*IF(doorlooptijd_van_wal&gt;=walduur,lambda_functie_wal_kalendertijd/(lambda_functie_wal_kalendertijd+ 1/ doorlooptijd_van_wal),0)
+ P_op_wal*IF(Doorlooptijd_transport&gt;=walduur,lambda_functie_wal_kalendertijd / (lambda_functie_wal_kalendertijd +1/Doorlooptijd_transport),0) )+ P_op_vloot*IF(doorlooptijd_wal_zonder&gt;=walduur, lambda_functie_wal_kalendertijd / (lambda_functie_wal_kalendertijd + 1/ doorlooptijd_wal_zonder),0),0),"")</f>
        <v/>
      </c>
      <c r="EE27" s="96">
        <f>IF(OR(CO_rep&lt;&gt;"",CO_verv&lt;&gt;""),IF(CO_verv &lt;&gt;"",
(1-P_op_vloot)* ( (1- P_op_wal)* (IF(AND(doorlooptijd_van_wal&lt;&gt;0,doorlooptijd_van_wal&lt;walduur),(1 -EXP(-(lambda_functie_wal_kalendertijd + 1 / doorlooptijd_van_wal)*walduur))
* lambda_functie_wal_kalendertijd / (lambda_functie_wal_kalendertijd + 1/ doorlooptijd_van_wal),0))
+ P_op_wal*(IF(AND(Doorlooptijd_transport&lt;&gt;0,Doorlooptijd_transport&lt;walduur),(1 -EXP(-(lambda_functie_wal_kalendertijd + 1 / Doorlooptijd_transport)*walduur))
* lambda_functie_wal_kalendertijd /(lambda_functie_wal_kalendertijd + 1/ Doorlooptijd_transport),0)))
+ P_op_vloot*(IF(AND(doorlooptijd_wal_zonder&lt;&gt;0,doorlooptijd_wal_zonder&lt;walduur),(1 -EXP(-(lambda_functie_wal_kalendertijd + 1 / doorlooptijd_wal_zonder)*walduur))
* lambda_functie_wal_kalendertijd / (lambda_functie_wal_kalendertijd + 1/ doorlooptijd_wal_zonder),0)),0),"")</f>
        <v/>
      </c>
      <c r="EF27" s="66">
        <f>IF(ONB_aanvang="","",IF(tot_ONB_aanvang&lt;&gt;0,ONB_aanvang/tot_ONB_aanvang,0))</f>
        <v/>
      </c>
      <c r="EG27" s="115">
        <f>IF(Lijst_componenten="","", IF(OR(DZ27=0,DZ27=""),EG26, IF(EG26="",DZ27,1-(1-DZ27)*(1-EG26))))</f>
        <v/>
      </c>
      <c r="EH27" s="107" t="n"/>
      <c r="EI27" s="40">
        <f>IF(Invoer!BE47="","",Invoer!BE47)</f>
        <v/>
      </c>
      <c r="EJ27" s="71" t="n"/>
      <c r="EK27" s="120" t="n"/>
      <c r="EL27" s="119" t="n"/>
      <c r="EM27" s="107" t="n"/>
      <c r="EN27" s="72" t="n"/>
      <c r="EO27" s="107" t="n"/>
      <c r="EP27" s="107" t="n"/>
      <c r="EQ27" s="119" t="n"/>
      <c r="ER27" s="120" t="n"/>
      <c r="ES27" s="119" t="n"/>
      <c r="ET27" s="119" t="n"/>
      <c r="EU27" s="115">
        <f>IF(Invoer!AS47="","",Invoer!AS47)</f>
        <v/>
      </c>
      <c r="EV27" s="115">
        <f>IF(Invoer!AT47="","",Invoer!AT47)</f>
        <v/>
      </c>
      <c r="EW27" s="115">
        <f>IF(Invoer!AU47="","",Invoer!AU47)</f>
        <v/>
      </c>
      <c r="EX27" s="115">
        <f>IF(Invoer!AV47="","",Invoer!AV47)</f>
        <v/>
      </c>
      <c r="EY27" s="115">
        <f>IF(Invoer!AW47="","",Invoer!AW47)</f>
        <v/>
      </c>
      <c r="EZ27" s="115">
        <f>IF(Invoer!AX47="","",Invoer!AX47)</f>
        <v/>
      </c>
      <c r="FA27" s="115">
        <f>IF(Invoer!AY47="","",Invoer!AY47)</f>
        <v/>
      </c>
      <c r="FB27" s="115">
        <f>IF(Invoer!AZ47="","",Invoer!AZ47)</f>
        <v/>
      </c>
      <c r="FC27" s="115">
        <f>IF(Invoer!BA47="","",Invoer!BA47)</f>
        <v/>
      </c>
      <c r="FD27" s="115">
        <f>IF(Invoer!BB47="","",Invoer!BB47)</f>
        <v/>
      </c>
      <c r="FE27" s="348" t="n"/>
      <c r="FF27" s="118">
        <f>IF(AND(functie_1&lt;&gt;"",lambda&lt;&gt;""),lambda*m_schip,"")</f>
        <v/>
      </c>
      <c r="FG27" s="118">
        <f>IF(functie_1&lt;&gt;"",lambda_functie,"")</f>
        <v/>
      </c>
      <c r="FH27" s="118">
        <f>IF(functie_1&lt;&gt;"",ONB_missie,"")</f>
        <v/>
      </c>
      <c r="FI27" s="115">
        <f>IF(Lijst_componenten="","", IF(OR(FH27=0,FH27=""),FI26, IF(FI26="",FH27,1-(1-FH27)*(1-FI26))))</f>
        <v/>
      </c>
      <c r="FJ27" s="118">
        <f>IF(functie_1&lt;&gt;"",ONB_aanvang,"")</f>
        <v/>
      </c>
      <c r="FK27" s="115">
        <f>IF(Lijst_componenten="","", IF(OR(FJ27=0,FJ27=""),FK26, IF(FK26="",FJ27,1-(1-FJ27)*(1-FK26))))</f>
        <v/>
      </c>
      <c r="FL27" s="107" t="n"/>
      <c r="FM27" s="118">
        <f>IF(AND(functie_2&lt;&gt;"",lambda&lt;&gt;""),lambda*m_schip,"")</f>
        <v/>
      </c>
      <c r="FN27" s="118">
        <f>IF(functie_2&lt;&gt;"",lambda_functie,"")</f>
        <v/>
      </c>
      <c r="FO27" s="118">
        <f>IF(functie_2&lt;&gt;"",ONB_missie,"")</f>
        <v/>
      </c>
      <c r="FP27" s="115">
        <f>IF(Lijst_componenten="","", IF(OR(FO27=0,FO27=""),FP26, IF(FP26="",FO27,1-(1-FO27)*(1-FP26))))</f>
        <v/>
      </c>
      <c r="FQ27" s="118">
        <f>IF(functie_2&lt;&gt;"",ONB_aanvang,"")</f>
        <v/>
      </c>
      <c r="FR27" s="115">
        <f>IF(Lijst_componenten="","", IF(OR(FQ27=0,FQ27=""),FR26, IF(FR26="",FQ27,1-(1-FQ27)*(1-FR26))))</f>
        <v/>
      </c>
      <c r="FS27" s="107" t="n"/>
      <c r="FT27" s="118">
        <f>IF(AND(functie_3&lt;&gt;"",lambda&lt;&gt;""),lambda*m_schip,"")</f>
        <v/>
      </c>
      <c r="FU27" s="118">
        <f>IF(functie_3&lt;&gt;"",lambda_functie,"")</f>
        <v/>
      </c>
      <c r="FV27" s="118">
        <f>IF(functie_3&lt;&gt;"",ONB_missie,"")</f>
        <v/>
      </c>
      <c r="FW27" s="115">
        <f>IF(Lijst_componenten="","", IF(OR(FV27=0,FV27=""),FW26, IF(FW26="",FV27,1-(1-FV27)*(1-FW26))))</f>
        <v/>
      </c>
      <c r="FX27" s="118">
        <f>IF(functie_3&lt;&gt;"",ONB_aanvang,"")</f>
        <v/>
      </c>
      <c r="FY27" s="115">
        <f>IF(Lijst_componenten="","", IF(OR(FX27=0,FX27=""),FY26, IF(FY26="",FX27,1-(1-FX27)*(1-FY26))))</f>
        <v/>
      </c>
      <c r="FZ27" s="107" t="n"/>
      <c r="GA27" s="118">
        <f>IF(AND(functie_4&lt;&gt;"",lambda&lt;&gt;""),lambda*m_schip,"")</f>
        <v/>
      </c>
      <c r="GB27" s="118">
        <f>IF(functie_4&lt;&gt;"",lambda_functie,"")</f>
        <v/>
      </c>
      <c r="GC27" s="118">
        <f>IF(functie_4&lt;&gt;"",ONB_missie,"")</f>
        <v/>
      </c>
      <c r="GD27" s="115">
        <f>IF(Lijst_componenten="","", IF(OR(GC27=0,GC27=""),GD26, IF(GD26="",GC27,1-(1-GC27)*(1-GD26))))</f>
        <v/>
      </c>
      <c r="GE27" s="118">
        <f>IF(functie_4&lt;&gt;"",ONB_aanvang,"")</f>
        <v/>
      </c>
      <c r="GF27" s="115">
        <f>IF(Lijst_componenten="","", IF(OR(GE27=0,GE27=""),GF26, IF(GF26="",GE27,1-(1-GE27)*(1-GF26))))</f>
        <v/>
      </c>
      <c r="GG27" s="107" t="n"/>
      <c r="GH27" s="118">
        <f>IF(AND(functie_5&lt;&gt;"",lambda&lt;&gt;""),lambda*m_schip,"")</f>
        <v/>
      </c>
      <c r="GI27" s="118">
        <f>IF(functie_5&lt;&gt;"",lambda_functie,"")</f>
        <v/>
      </c>
      <c r="GJ27" s="118">
        <f>IF(functie_5&lt;&gt;"",ONB_missie,"")</f>
        <v/>
      </c>
      <c r="GK27" s="115">
        <f>IF(Lijst_componenten="","", IF(OR(GJ27=0,GJ27=""),GK26, IF(GK26="",GJ27,1-(1-GJ27)*(1-GK26))))</f>
        <v/>
      </c>
      <c r="GL27" s="118">
        <f>IF(functie_5&lt;&gt;"",ONB_aanvang,"")</f>
        <v/>
      </c>
      <c r="GM27" s="115">
        <f>IF(Lijst_componenten="","", IF(OR(GL27=0,GL27=""),GM26, IF(GM26="",GL27,1-(1-GL27)*(1-GM26))))</f>
        <v/>
      </c>
      <c r="GN27" s="107" t="n"/>
      <c r="GO27" s="118">
        <f>IF(AND(functie_6&lt;&gt;"",lambda&lt;&gt;""),lambda*m_schip,"")</f>
        <v/>
      </c>
      <c r="GP27" s="118">
        <f>IF(functie_6&lt;&gt;"",lambda_functie,"")</f>
        <v/>
      </c>
      <c r="GQ27" s="118">
        <f>IF(functie_6&lt;&gt;"",ONB_missie,"")</f>
        <v/>
      </c>
      <c r="GR27" s="115">
        <f>IF(Lijst_componenten="","", IF(OR(GQ27=0,GQ27=""),GR26, IF(GR26="",GQ27,1-(1-GQ27)*(1-GR26))))</f>
        <v/>
      </c>
      <c r="GS27" s="118">
        <f>IF(functie_6&lt;&gt;"",ONB_aanvang,"")</f>
        <v/>
      </c>
      <c r="GT27" s="115">
        <f>IF(Lijst_componenten="","", IF(OR(GS27=0,GS27=""),GT26, IF(GT26="",GS27,1-(1-GS27)*(1-GT26))))</f>
        <v/>
      </c>
      <c r="GU27" s="107" t="n"/>
      <c r="GV27" s="118">
        <f>IF(AND(functie_7&lt;&gt;"",lambda&lt;&gt;""),lambda*m_schip,"")</f>
        <v/>
      </c>
      <c r="GW27" s="118">
        <f>IF(functie_7&lt;&gt;"",lambda_functie,"")</f>
        <v/>
      </c>
      <c r="GX27" s="118">
        <f>IF(functie_7&lt;&gt;"",ONB_missie,"")</f>
        <v/>
      </c>
      <c r="GY27" s="115">
        <f>IF(Lijst_componenten="","", IF(OR(GX27=0,GX27=""),GY26, IF(GY26="",GX27,1-(1-GX27)*(1-GY26))))</f>
        <v/>
      </c>
      <c r="GZ27" s="118">
        <f>IF(functie_7&lt;&gt;"",ONB_aanvang,"")</f>
        <v/>
      </c>
      <c r="HA27" s="115">
        <f>IF(Lijst_componenten="","", IF(OR(GZ27=0,GZ27=""),HA26, IF(HA26="",GZ27,1-(1-GZ27)*(1-HA26))))</f>
        <v/>
      </c>
      <c r="HB27" s="107" t="n"/>
      <c r="HC27" s="118">
        <f>IF(AND(functie_8&lt;&gt;"",lambda&lt;&gt;""),lambda*m_schip,"")</f>
        <v/>
      </c>
      <c r="HD27" s="118">
        <f>IF(functie_8&lt;&gt;"",lambda_functie,"")</f>
        <v/>
      </c>
      <c r="HE27" s="118">
        <f>IF(functie_8&lt;&gt;"",ONB_missie,"")</f>
        <v/>
      </c>
      <c r="HF27" s="115">
        <f>IF(Lijst_componenten="","", IF(OR(HE27=0,HE27=""),HF26, IF(HF26="",HE27,1-(1-HE27)*(1-HF26))))</f>
        <v/>
      </c>
      <c r="HG27" s="118">
        <f>IF(functie_8&lt;&gt;"",ONB_aanvang,"")</f>
        <v/>
      </c>
      <c r="HH27" s="115">
        <f>IF(Lijst_componenten="","", IF(OR(HG27=0,HG27=""),HH26, IF(HH26="",HG27,1-(1-HG27)*(1-HH26))))</f>
        <v/>
      </c>
      <c r="HI27" s="107" t="n"/>
      <c r="HJ27" s="118">
        <f>IF(AND(functie_9&lt;&gt;"",lambda&lt;&gt;""),lambda*m_schip,"")</f>
        <v/>
      </c>
      <c r="HK27" s="118">
        <f>IF(functie_9&lt;&gt;"",lambda_functie,"")</f>
        <v/>
      </c>
      <c r="HL27" s="118">
        <f>IF(functie_9&lt;&gt;"",ONB_missie,"")</f>
        <v/>
      </c>
      <c r="HM27" s="115">
        <f>IF(Lijst_componenten="","", IF(OR(HL27=0,HL27=""),HM26, IF(HM26="",HL27,1-(1-HL27)*(1-HM26))))</f>
        <v/>
      </c>
      <c r="HN27" s="118">
        <f>IF(functie_9&lt;&gt;"",ONB_aanvang,"")</f>
        <v/>
      </c>
      <c r="HO27" s="115">
        <f>IF(Lijst_componenten="","", IF(OR(HN27=0,HN27=""),HO26, IF(HO26="",HN27,1-(1-HN27)*(1-HO26))))</f>
        <v/>
      </c>
      <c r="HP27" s="107" t="n"/>
      <c r="HQ27" s="118">
        <f>IF(AND(functie_10&lt;&gt;"",lambda&lt;&gt;""),lambda*m_schip,"")</f>
        <v/>
      </c>
      <c r="HR27" s="118">
        <f>IF(functie_10&lt;&gt;"",lambda_functie,"")</f>
        <v/>
      </c>
      <c r="HS27" s="118">
        <f>IF(functie_10&lt;&gt;"",ONB_missie,"")</f>
        <v/>
      </c>
      <c r="HT27" s="115">
        <f>IF(Lijst_componenten="","", IF(OR(HS27=0,HS27=""),HT26, IF(HT26="",HS27,1-(1-HS27)*(1-HT26))))</f>
        <v/>
      </c>
      <c r="HU27" s="118">
        <f>IF(functie_10&lt;&gt;"",ONB_aanvang,"")</f>
        <v/>
      </c>
      <c r="HV27" s="115">
        <f>IF(Lijst_componenten="","", IF(OR(HU27=0,HU27=""),HV26, IF(HV26="",HU27,1-(1-HU27)*(1-HV26))))</f>
        <v/>
      </c>
      <c r="HW27" s="353" t="n"/>
      <c r="HX27" s="113" t="n"/>
      <c r="HY27" s="353" t="n"/>
      <c r="HZ27" s="353" t="n"/>
      <c r="IA27" s="353" t="n"/>
      <c r="IB27" s="353" t="n"/>
      <c r="IC27" s="353" t="n"/>
      <c r="ID27" s="353" t="n"/>
      <c r="IE27" s="353" t="n"/>
      <c r="IF27" s="353" t="n"/>
      <c r="IG27" s="353" t="n"/>
      <c r="IH27" s="353" t="n"/>
      <c r="II27" s="353" t="n"/>
      <c r="IJ27" s="353" t="n"/>
      <c r="IK27" s="353" t="n"/>
      <c r="IL27" s="353" t="n"/>
      <c r="IM27" s="353" t="n"/>
      <c r="IN27" s="353" t="n"/>
      <c r="IO27" s="353" t="n"/>
      <c r="IP27" s="353" t="n"/>
      <c r="IQ27" s="353" t="n"/>
      <c r="IR27" s="353" t="n"/>
      <c r="IS27" s="353" t="n"/>
      <c r="IT27" s="353" t="n"/>
      <c r="IU27" s="353" t="n"/>
      <c r="IV27" s="353" t="n"/>
    </row>
    <row r="28" ht="12" customFormat="1" customHeight="1" s="353">
      <c r="A28" s="99" t="n">
        <v>11</v>
      </c>
      <c r="B28" s="649">
        <f>N(Invoer!B48)</f>
        <v/>
      </c>
      <c r="C28" s="649">
        <f>N(Invoer!C48)</f>
        <v/>
      </c>
      <c r="D28" s="649">
        <f>N(Invoer!D48)</f>
        <v/>
      </c>
      <c r="E28" s="649">
        <f>N(Invoer!E48)</f>
        <v/>
      </c>
      <c r="F28" s="649">
        <f>N(Invoer!F48)</f>
        <v/>
      </c>
      <c r="G28" s="649">
        <f>N(Invoer!G48)</f>
        <v/>
      </c>
      <c r="H28" s="649">
        <f>N(Invoer!H48)</f>
        <v/>
      </c>
      <c r="I28" s="649">
        <f>N(Invoer!I48)</f>
        <v/>
      </c>
      <c r="J28" s="649">
        <f>N(Invoer!J48)</f>
        <v/>
      </c>
      <c r="K28" s="649">
        <f>N(Invoer!K48)</f>
        <v/>
      </c>
      <c r="L28" s="58">
        <f>IF(Invoer!L48="","",Invoer!L48)</f>
        <v/>
      </c>
      <c r="M28" s="650">
        <f>N(Invoer!M48)</f>
        <v/>
      </c>
      <c r="N28" s="58">
        <f>IF(Invoer!N48="","",Invoer!N48)</f>
        <v/>
      </c>
      <c r="O28" s="119" t="n"/>
      <c r="P28" s="96">
        <f>IF(Invoer!BK48="","",Invoer!BK48)</f>
        <v/>
      </c>
      <c r="Q28" s="96">
        <f>IF(Invoer!BL48="","",Invoer!BL48)</f>
        <v/>
      </c>
      <c r="R28" s="96">
        <f>IF(Invoer!BM48="","",Invoer!BM48)</f>
        <v/>
      </c>
      <c r="S28" s="96">
        <f>IF(Invoer!BN48="","",Invoer!BN48)</f>
        <v/>
      </c>
      <c r="T28" s="96">
        <f>IF(Invoer!BO48="","",Invoer!BO48)</f>
        <v/>
      </c>
      <c r="U28" s="96">
        <f>IF(Invoer!BP48="","",Invoer!BP48)</f>
        <v/>
      </c>
      <c r="V28" s="60" t="n"/>
      <c r="W28" s="115">
        <f>IF(Invoer!BQ48="","",Invoer!BQ48)</f>
        <v/>
      </c>
      <c r="X28" s="115">
        <f>IF(Invoer!BR48="","",Invoer!BR48)</f>
        <v/>
      </c>
      <c r="Y28" s="60" t="n"/>
      <c r="Z28" s="115">
        <f>IF(Invoer!BS48="","",Invoer!BS48)</f>
        <v/>
      </c>
      <c r="AA28" s="115">
        <f>IF(Invoer!BT48="","",Invoer!BT48)</f>
        <v/>
      </c>
      <c r="AB28" s="115">
        <f>IF(Invoer!P48="","",Invoer!P48)</f>
        <v/>
      </c>
      <c r="AC28" s="60" t="n"/>
      <c r="AD28" s="34">
        <f>IF(Invoer!Q48="","",Invoer!Q48)</f>
        <v/>
      </c>
      <c r="AE28" s="110" t="n"/>
      <c r="AF28" s="96">
        <f>IF(Invoer!R48="","",Invoer!R48)</f>
        <v/>
      </c>
      <c r="AG28" s="107" t="n"/>
      <c r="AH28" s="107" t="n"/>
      <c r="AI28" s="658">
        <f>IF(N(Invoer!S48)=0,"",Invoer!S48)</f>
        <v/>
      </c>
      <c r="AJ28" s="659">
        <f>IF(Invoer!T48="","",Invoer!T48)</f>
        <v/>
      </c>
      <c r="AK28" s="365" t="n"/>
      <c r="AL28" s="659">
        <f>IF(Invoer!U48="","",Invoer!U48)</f>
        <v/>
      </c>
      <c r="AM28" s="659">
        <f>IF(Invoer!V48="","",Invoer!V48)</f>
        <v/>
      </c>
      <c r="AN28" s="659">
        <f>IF(Invoer!W48="","",Invoer!W48)</f>
        <v/>
      </c>
      <c r="AO28" s="368" t="n"/>
      <c r="AP28" s="660">
        <f>N(Invoer!X48)</f>
        <v/>
      </c>
      <c r="AQ28" s="660">
        <f>N(Invoer!Y48)</f>
        <v/>
      </c>
      <c r="AR28" s="660">
        <f>N(Invoer!Z48)</f>
        <v/>
      </c>
      <c r="AS28" s="660">
        <f>N(Invoer!AA48)</f>
        <v/>
      </c>
      <c r="AT28" s="660">
        <f>N(Invoer!AB48)</f>
        <v/>
      </c>
      <c r="AU28" s="660">
        <f>N(Invoer!AC48)</f>
        <v/>
      </c>
      <c r="AV28" s="368" t="n"/>
      <c r="AW28" s="661">
        <f>N(Invoer!AD48)</f>
        <v/>
      </c>
      <c r="AX28" s="368" t="n"/>
      <c r="AY28" s="541">
        <f>IF(Periodiciteit&lt;&gt;"",(uurtarief_wd*(IF(ISNUMBER(tijd_wd),tijd_wd,0))+uurtarief_td*(IF(ISNUMBER(tijd_td),tijd_td,0))+uurtarief_sb*(IF(ISNUMBER(tijd_sb),tijd_sb,0))+uurtarief_rw*(IF(ISNUMBER(tijd_rw),tijd_rw,0))+uurtarief_d*(IF(ISNUMBER(tijd_d),tijd_d,0))+uurtarief_3*(IF(ISNUMBER(tijd_3),tijd_3,0)) +(IF(ISNUMBER(f_vast),f_vast,0)))*(IF(Perio_int="j",1,IF(Perio_int="m",12,IF(Perio_int="w",52,IF(Perio_int="d",365,0)))))*Periodiciteit*aantal_componenten,"")</f>
        <v/>
      </c>
      <c r="AZ28" s="368" t="n"/>
      <c r="BA28" s="542">
        <f>IF(N(Invoer!AE48)=0,"",Invoer!AE48)</f>
        <v/>
      </c>
      <c r="BB28" s="368" t="n"/>
      <c r="BC28" s="542">
        <f>IF(AND(Periodiciteit&lt;&gt;"",Kosten_res_pk&lt;&gt;""), Kosten_res_pk*(IF(Perio_int="j",1,IF(Perio_int="m",12,IF(Perio_int="w",52,IF(Perio_int="d",365,0)))))*Periodiciteit*aantal_componenten,"")</f>
        <v/>
      </c>
      <c r="BD28" s="368" t="n"/>
      <c r="BE28" s="370" t="n"/>
      <c r="BF28" s="368" t="n"/>
      <c r="BG28" s="542">
        <f>IF(Kosten_res_trade &lt;&gt;"", Kosten_res_trade, Kosten_res_jaar )</f>
        <v/>
      </c>
      <c r="BH28" s="368" t="n"/>
      <c r="BI28" s="543">
        <f>IF(N(Invoer!AF48)=0,"",Invoer!AF48)</f>
        <v/>
      </c>
      <c r="BJ28" s="368" t="n"/>
      <c r="BK28" s="543">
        <f>IF(AND(Periodiciteit&lt;&gt;"",Gevolgkosten&lt;&gt;""), Gevolgkosten*(IF(Perio_int="j",1,IF(Perio_int="m",12,IF(Perio_int="w",52,IF(Perio_int="d",365,0)))))*Periodiciteit*aantal_componenten,"")</f>
        <v/>
      </c>
      <c r="BL28" s="368" t="n"/>
      <c r="BM28" s="660">
        <f>N(Invoer!AJ48)</f>
        <v/>
      </c>
      <c r="BN28" s="662">
        <f>N(Invoer!AK48)</f>
        <v/>
      </c>
      <c r="BO28" s="662">
        <f>N(Invoer!AL48)</f>
        <v/>
      </c>
      <c r="BP28" s="662">
        <f>N(Invoer!AM48)</f>
        <v/>
      </c>
      <c r="BQ28" s="368" t="n"/>
      <c r="BR28" s="662">
        <f>N(Invoer!AN48)</f>
        <v/>
      </c>
      <c r="BS28" s="543">
        <f>IF(N(Invoer!AO48)=0,"",Invoer!AO48)</f>
        <v/>
      </c>
      <c r="BT28" s="662">
        <f>N(Invoer!AP48)</f>
        <v/>
      </c>
      <c r="BU28" s="368" t="n"/>
      <c r="BV28" s="662">
        <f>N(Invoer!AQ48)</f>
        <v/>
      </c>
      <c r="BW28" s="663">
        <f>N(Invoer!AR48)</f>
        <v/>
      </c>
      <c r="BX28" s="480" t="n"/>
      <c r="BY28" s="477" t="n"/>
      <c r="BZ28" s="107" t="n"/>
      <c r="CA28" s="64">
        <f>IF(N(Invoer!AG48)=0,"",Invoer!AG48)</f>
        <v/>
      </c>
      <c r="CB28" s="657">
        <f>N(Invoer!AH48)</f>
        <v/>
      </c>
      <c r="CC28" s="657">
        <f>N(Invoer!AI48)</f>
        <v/>
      </c>
      <c r="CD28" s="64">
        <f>IF( OR(CO_rep&lt;&gt;"",CO_verv&lt;&gt;""),IF(lambda_fabrikant&lt;&gt;"",IF(Uitvoeren_missie="N", (1-EXP(-aantal_componenten*lambda_fabrikant*Missieduur*p_gebruik_missie))/Missieduur/aantal_componenten,
IF(doorlooptijd_missie_i &lt;&gt; 0,((aantal_componenten*lambda_fabrikant*(1/doorlooptijd_missie_i)/(aantal_componenten*lambda_fabrikant+1/doorlooptijd_missie_i))*Missieduur*p_gebruik_missie+(aantal_componenten*lambda_fabrikant)^2/(aantal_componenten*lambda_fabrikant+1/doorlooptijd_missie_i)^2*(1-EXP(-(aantal_componenten*lambda_fabrikant+1/doorlooptijd_missie_i)*Missieduur*p_gebruik_missie)))/Missieduur/aantal_componenten,lambda_fabrikant*p_gebruik_missie)),""),"")</f>
        <v/>
      </c>
      <c r="CE28" s="64">
        <f>IF( OR(CO_rep&lt;&gt;"",CO_verv&lt;&gt;""),IF(lambda_fabrikant&lt;&gt;"",IF(uitvoeren_GO = "J", (1-EXP(-(aantal_componenten*lambda_fabrikant*p_gebruik_wal* interval_groot_onderhoud/8760*Missies_per_jaar*walduur)))/ (interval_groot_onderhoud/8760*Missies_per_jaar*walduur) / aantal_componenten,IF(doorlooptijd_wal_i &lt;&gt; 0,((aantal_componenten*lambda_fabrikant*(1/doorlooptijd_wal_i)/(aantal_componenten*lambda_fabrikant+1/doorlooptijd_wal_i))*walduur*p_gebruik_wal+(aantal_componenten*lambda_fabrikant)^2/(aantal_componenten*lambda_fabrikant+1/doorlooptijd_wal_i)^2*(1-EXP(-(aantal_componenten*lambda_fabrikant+1/doorlooptijd_wal_i)*walduur*p_gebruik_wal)))/walduur/aantal_componenten,lambda_fabrikant*p_gebruik_wal)),""),"")</f>
        <v/>
      </c>
      <c r="CF28" s="64">
        <f>IF( OR(CO_rep&lt;&gt;"",CO_verv&lt;&gt;""),
IF(OR(lambda_missie_g&lt;&gt;"",lambda_wal_g&lt;&gt;""), "", IF(Perio_int="j",1/8760, IF(Perio_int="m",12/8760, IF(Perio_int="w",52/8760, IF(Perio_int="d",365/8760,"error") ) ) )*Periodiciteit),"")</f>
        <v/>
      </c>
      <c r="CG28" s="66">
        <f>IF(OR(CO_rep&lt;&gt;"",CO_verv&lt;&gt;""),1,"")</f>
        <v/>
      </c>
      <c r="CH28" s="64">
        <f>IF( OR(CO_rep&lt;&gt;"",CO_verv&lt;&gt;""),IF(lambda_fabrikant="",lambda_kalendertijd*missiepercentage*8760/(Missies_per_jaar*Missieduur),""),"")</f>
        <v/>
      </c>
      <c r="CI28" s="64">
        <f>IF( OR(CO_rep&lt;&gt;"",CO_verv&lt;&gt;""),IF(lambda_fabrikant="",lambda_kalendertijd*(1-missiepercentage)*8760/(Missies_per_jaar*walduur),""),"")</f>
        <v/>
      </c>
      <c r="CJ28" s="64">
        <f>IF( OR(CO_rep&lt;&gt;"",CO_verv&lt;&gt;""),
IF(OR(lambda_missie_g&lt;&gt;"",lambda_wal_g&lt;&gt;""), (lambda_missie_g*Missieduur + lambda_wal_g*walduur)/8760*Missies_per_jaar, lambda_kalendertijd),"")</f>
        <v/>
      </c>
      <c r="CK28" s="64">
        <f>IF(lambda&lt;&gt;"",m_schip*lambda,"")</f>
        <v/>
      </c>
      <c r="CL28" s="65">
        <f>IF(OR(CO_rep&lt;&gt;"",CO_verv&lt;&gt;""),IF(Redundantie = "J","?",1),"")</f>
        <v/>
      </c>
      <c r="CM28" s="64">
        <f>IF(lambda&lt;&gt;"",IF(Redundantie="J",IF(lambda_missie_g&lt;&gt;"",lambda_missie_g*redundantie_factor,lambda_missie*redundantie_factor),IF(lambda_missie_g&lt;&gt;"",lambda_missie_g*m_schip,lambda_missie*m_schip)),"")</f>
        <v/>
      </c>
      <c r="CN28" s="64">
        <f>IF(lambda&lt;&gt;"",lambda_functie*Missieduur*Missies_per_jaar/8760,"")</f>
        <v/>
      </c>
      <c r="CO28" s="64">
        <f>IF(lambda&lt;&gt;"",IF(Redundantie="J",IF(lambda_wal_g&lt;&gt;"",lambda_wal_g*redundantie_factor,lambda_wal*redundantie_factor),IF(lambda_wal_g&lt;&gt;"",lambda_wal_g*m_schip,lambda_wal*m_schip)),"")</f>
        <v/>
      </c>
      <c r="CP28" s="64">
        <f>IF(lambda&lt;&gt;"",lambda_functie_wal*walduur*Missies_per_jaar/8760,"")</f>
        <v/>
      </c>
      <c r="CQ28" s="107" t="n"/>
      <c r="CR28" s="115">
        <f>IF(OR(CO_verv&lt;&gt;"",CO_rep&lt;&gt;""),aantal_componenten,"")</f>
        <v/>
      </c>
      <c r="CS28" s="66">
        <f>IF( OR(CO_rep&lt;&gt;"",CO_verv&lt;&gt;""),IF(Aantal_res_boord=0,1,IF(lambda_missie_g&lt;&gt;"",1-POISSON(Aantal_res_boord-1,m_schip*lambda_missie_g*Missieduur,TRUE),1-POISSON(Aantal_res_boord-1,m_schip*lambda_missie*Missieduur,TRUE))),"")</f>
        <v/>
      </c>
      <c r="CT28" s="107" t="n"/>
      <c r="CU28" s="115">
        <f>IF(OR(CO_verv&lt;&gt;"",CO_rep&lt;&gt;""),Aantal_fregatten * m_schip,"")</f>
        <v/>
      </c>
      <c r="CV28" s="65">
        <f>IF(AND(lambda&gt;0,Aantal_ini_wal&gt;=0,Aantal_res_wal&lt;&gt;""),IF(Aantal_ini_wal&gt;Aantal_res_wal,(Aantal_ini_wal-Aantal_res_wal)/(m_vloot*lambda*8760),0),"")</f>
        <v/>
      </c>
      <c r="CW28" s="65">
        <f>IF(AND(lambda&gt;0,Aantal_max_wal&gt;=0,Aantal_res_wal&lt;&gt;""),IF(Aantal_max_wal&gt;Aantal_res_wal,(Aantal_max_wal-Aantal_res_wal)/(m_vloot*lambda*8760),0),"")</f>
        <v/>
      </c>
      <c r="CX28" s="68">
        <f>IF(AND(ini_periode&lt;&gt;"",bestel_interval&lt;&gt;"",besteltijd&lt;&gt;""),IF(ini_periode&gt;=Looptijd,0,
IF(bestel_interval&gt;=(Looptijd-ini_periode),IF(besteltijd&lt;(Looptijd-ini_periode),besteltijd/8760/Looptijd,(Looptijd-ini_periode)/Looptijd),
IF(((Looptijd-ini_periode)-(INT((Looptijd-ini_periode)/(besteltijd/8760+bestel_interval))))&gt;=besteltijd/8760,(1+INT((Looptijd-ini_periode)/(besteltijd/8760+bestel_interval)))*(besteltijd/8760)/Looptijd,(INT((Looptijd-ini_periode)/(besteltijd/8760+bestel_interval))*(besteltijd/8760)+((Looptijd-ini_periode)-(INT((Looptijd-ini_periode)/(besteltijd/8760+bestel_interval)))*(besteltijd/8760+bestel_interval)))/Looptijd))),"")</f>
        <v/>
      </c>
      <c r="CY28" s="66">
        <f>IF( OR(CO_rep&lt;&gt;"",CO_verv&lt;&gt;""),
IF( Aantal_res_wal+(Aantal_fregatten-1)*Aantal_res_boord=0, 1*IF(percentage_looptijd_inbestelling&lt;&gt;"",percentage_looptijd_inbestelling,1),
(1-POISSON(Aantal_res_wal-1+(Aantal_fregatten-1)*Aantal_res_boord, m_vloot*lambda*besteltijd,TRUE))*IF(percentage_looptijd_inbestelling&lt;&gt;"",percentage_looptijd_inbestelling,1)),"")</f>
        <v/>
      </c>
      <c r="CZ28" s="66">
        <f>IF( OR(CO_rep&lt;&gt;"",CO_verv&lt;&gt;""),IF( Aantal_res_wal=0,1, 1-POISSON(Aantal_res_boord+Aantal_res_wal-1, m_vloot*lambda*besteltijd,TRUE) ),"")</f>
        <v/>
      </c>
      <c r="DA28" s="107" t="n"/>
      <c r="DB28" s="115">
        <f>IF(OR(Uitvoeren_missie&lt;&gt;"J",uitvoeren_bedrijf="J",uitvoeren_GO="J"), "",
IF(TAO_revisie&lt;&gt;"", TAO_rev_verv_tijd,
IF(TAO_vervanging&lt;&gt;"", TAO_rev_verv_tijd,
IF(PO_doorlooptijd&lt;&gt;0, PO_doorlooptijd,"" ))))</f>
        <v/>
      </c>
      <c r="DC28" s="107" t="n"/>
      <c r="DD28" s="115">
        <f>IF(AND(CO_rep&lt;&gt;"", Uitvoeren_missie="N"), Missieduur,
IF(AND(CO_rep&lt;&gt;"", Uitvoeren_missie="J"), CO_zoektijd + CO_rep_verv_tijd,""))</f>
        <v/>
      </c>
      <c r="DE28" s="115">
        <f>IF(AND(CO_verv&lt;&gt;"", Uitvoeren_missie="N"), Missieduur,
IF(AND(CO_verv&lt;&gt;"", Uitvoeren_missie="J"), CO_zoektijd + CO_rep_verv_tijd,""))</f>
        <v/>
      </c>
      <c r="DF28" s="115">
        <f>IF(AND(CO_verv&lt;&gt;"", Uitvoeren_missie="N"), Missieduur,
IF(AND(CO_verv&lt;&gt;"", Uitvoeren_missie="J"), wachttijd_invlieg+CO_zoektijd + CO_rep_verv_tijd,""))</f>
        <v/>
      </c>
      <c r="DG28" s="115">
        <f>IF(AND(CO_verv&lt;&gt;"", Uitvoeren_missie="N"), Missieduur,
IF(AND(CO_verv&lt;&gt;"", Uitvoeren_missie="J"), besteltijd + wachttijd_invlieg + CO_zoektijd + CO_rep_verv_tijd,""))</f>
        <v/>
      </c>
      <c r="DH28" s="115">
        <f> IF(AND(doorlooptijd_missie_met&lt;&gt;"",CO_verv&lt;&gt;""), P_op_boord* ( P_op_vloot*doorlooptijd_missie_zonder + (1-P_op_vloot)*doorlooptijd_invlieg ) + (1-P_op_boord)* doorlooptijd_missie_met, "")</f>
        <v/>
      </c>
      <c r="DI28" s="115">
        <f>IF(CO_rep&lt;&gt;"",doorlooptijd_missie_rep,IF(AND(CO_verv&lt;&gt;"",Aantal_res_boord&lt;&gt;"",Aantal_res_boord&lt;&gt;0),doorlooptijd_missie_met,IF(AND(CO_verv&lt;&gt;"",Aantal_max_wal&lt;&gt;"",Aantal_max_wal&lt;&gt;0),doorlooptijd_invlieg,doorlooptijd_missie_zonder)))</f>
        <v/>
      </c>
      <c r="DJ28" s="115">
        <f>IF(doorlooptijd_missie_verv&lt;&gt;"", doorlooptijd_missie_verv, IF(doorlooptijd_missie_rep&lt;&gt;"", doorlooptijd_missie_rep,""))</f>
        <v/>
      </c>
      <c r="DK28" s="107" t="n"/>
      <c r="DL28" s="115">
        <f> IF(CO_rep&lt;&gt;"", CO_zoektijd + CO_rep_verv_tijd,"")</f>
        <v/>
      </c>
      <c r="DM28" s="115">
        <f> IF(AND(CO_verv&lt;&gt;"",CO_rep=""), wachttijd_wal+CO_zoektijd + CO_rep_verv_tijd,"")</f>
        <v/>
      </c>
      <c r="DN28" s="115">
        <f> IF(AND(CO_verv&lt;&gt;"",CO_rep=""), wachttijd_invlieg+CO_zoektijd + CO_rep_verv_tijd,"")</f>
        <v/>
      </c>
      <c r="DO28" s="115">
        <f>IF(AND(CO_verv&lt;&gt;"",CO_rep=""), besteltijd + wachttijd_wal + CO_zoektijd + CO_rep_verv_tijd,"")</f>
        <v/>
      </c>
      <c r="DP28" s="69">
        <f> IF(AND(doorlooptijd_van_wal&lt;&gt;"",CO_verv&lt;&gt;""), P_op_vloot*doorlooptijd_wal_zonder +
(1-P_op_vloot)*(P_op_wal*Doorlooptijd_transport+ (1-P_op_wal)*doorlooptijd_van_wal ), "")</f>
        <v/>
      </c>
      <c r="DQ28" s="115">
        <f>IF(CO_rep&lt;&gt;"",doorlooptijd_wal_rep,IF(AND(CO_verv&lt;&gt;"",AND(Aantal_res_boord&lt;&gt;"",Aantal_res_boord&lt;&gt;0)),doorlooptijd_van_wal,IF(AND(CO_verv&lt;&gt;"",AND(Aantal_max_wal&lt;&gt;"",Aantal_max_wal&lt;&gt;0)),Doorlooptijd_transport,doorlooptijd_wal_zonder)))</f>
        <v/>
      </c>
      <c r="DR28" s="115">
        <f>IF(doorlooptijd_wal_verv&lt;&gt;"", doorlooptijd_wal_verv, IF(doorlooptijd_wal_rep&lt;&gt;"", doorlooptijd_wal_rep,""))</f>
        <v/>
      </c>
      <c r="DS28" s="107" t="n"/>
      <c r="DT28" s="64">
        <f>IF(OR(CO_verv&lt;&gt;"",CO_rep&lt;&gt;""),IF(lambda_functie&lt;&gt;"",ONB_missie_tussenberekening_1 + ONB_missie_tussenberekening_2,""),"")</f>
        <v/>
      </c>
      <c r="DU28" s="64">
        <f>IF(OR(CO_rep&lt;&gt;"",CO_verv&lt;&gt;""),IF(lambda_functie&lt;&gt;"",IF(Uitvoeren_missie="N",1-(1-EXP(-lambda_functie*Missieduur))/(lambda_functie*Missieduur),IF(CO_verv&lt;&gt;"",
(1-P_op_boord)*IF(doorlooptijd_missie_met&lt;&gt;0,lambda_functie/(lambda_functie+(1/doorlooptijd_missie_met))-lambda_functie/((lambda_functie+(1/doorlooptijd_missie_met))^2*Missieduur)*(1-EXP(-(lambda_functie+(1/doorlooptijd_missie_met))*Missieduur)),0)+P_op_boord*((1-P_op_vloot)*IF(doorlooptijd_invlieg&lt;&gt;0,lambda_functie/(lambda_functie+(1 /doorlooptijd_invlieg))-lambda_functie/((lambda_functie+(1/doorlooptijd_invlieg))^2*Missieduur)*(1-EXP(-(lambda_functie+(1/doorlooptijd_invlieg))*Missieduur)),0)+P_op_vloot*IF(doorlooptijd_missie_zonder&lt;&gt;0,lambda_functie/(lambda_functie+(1/doorlooptijd_missie_zonder))-lambda_functie/((lambda_functie+(1/doorlooptijd_missie_zonder))^2*Missieduur)*(1-EXP(-(lambda_functie+(1/doorlooptijd_missie_zonder))*Missieduur)),0)),0)),0),"")</f>
        <v/>
      </c>
      <c r="DV28" s="64">
        <f>IF(OR(CO_rep&lt;&gt;"",CO_verv&lt;&gt;""),IF(lambda_functie&lt;&gt;"",IF(CO_rep&lt;&gt;"",
IF(doorlooptijd_missie_rep&lt;&gt;0,lambda_functie/(lambda_functie+(1/doorlooptijd_missie_rep))-lambda_functie/((lambda_functie+(1/doorlooptijd_missie_rep))^2*Missieduur)*(1-EXP(-(lambda_functie+(1/doorlooptijd_missie_rep))*Missieduur)),0),0)),"")</f>
        <v/>
      </c>
      <c r="DW28" s="66">
        <f>IF(ONB_missie="","",IF(tot_ONB_missie&lt;&gt;0,ONB_missie/tot_ONB_missie,0))</f>
        <v/>
      </c>
      <c r="DX28" s="115">
        <f>IF(Lijst_componenten="","", IF(OR(DT28=0,DT28=""),DX27, IF(DX27="",DT28,1-(1-DT28)*(1-DX27))))</f>
        <v/>
      </c>
      <c r="DY28" s="107" t="n"/>
      <c r="DZ28" s="96">
        <f>IF(OR(CO_rep&lt;&gt;"",CO_verv&lt;&gt;""),IF(uitvoeren_GO="J",ONB_tussenberekening_1,IF(CO_rep&lt;&gt;"",ONB_tussenberekening_2,ONB_tussenberekening_3+ONB_tussenberekening_4+ONB_tussenberekening_5)),"")</f>
        <v/>
      </c>
      <c r="EA28" s="96">
        <f>IF(OR(CO_rep&lt;&gt;"",CO_verv&lt;&gt;""),IF(AND(OR(lambda_functie_kalendertijd&lt;&gt;"",lambda_functie_wal_kalendertijd&lt;&gt;""),uitvoeren_GO="J"),
1-(1-EXP(-(lambda_functie_kalendertijd+lambda_functie_wal_kalendertijd)*interval_groot_onderhoud))
/((lambda_functie_kalendertijd+lambda_functie_wal_kalendertijd)*interval_groot_onderhoud),0),"")</f>
        <v/>
      </c>
      <c r="EB28" s="96">
        <f>IF(OR(CO_rep&lt;&gt;"",CO_verv&lt;&gt;""),IF(AND(CO_rep &lt;&gt;"",OR(doorlooptijd_missie_rep&gt;=walduur,doorlooptijd_wal_rep &gt;= walduur)),IF(doorlooptijd_missie_rep &gt;= walduur,lambda_functie_kalendertijd / (lambda_functie_kalendertijd + 1/doorlooptijd_missie_rep),0)
+ IF(doorlooptijd_wal_rep &gt;= walduur,lambda_functie_wal_kalendertijd / (lambda_functie_wal_kalendertijd + 1/doorlooptijd_wal_rep),0),IF(CO_rep &lt;&gt; "",(1 -EXP(-(lambda_functie_wal_kalendertijd + 1 / doorlooptijd_wal_rep)*walduur))
* lambda_functie_wal_kalendertijd / (lambda_functie_wal_kalendertijd + 1/ doorlooptijd_wal_rep),0)),"")</f>
        <v/>
      </c>
      <c r="EC28" s="96">
        <f>IF(OR(CO_rep&lt;&gt;"",CO_verv&lt;&gt;""),IF(CO_verv&lt;&gt;"",
P_op_boord* ( P_op_vloot*IF(doorlooptijd_missie_zonder&gt;=walduur, lambda_functie_kalendertijd / (lambda_functie_kalendertijd + 1/doorlooptijd_missie_zonder),0)+ (1- P_op_vloot)*IF(doorlooptijd_invlieg&gt;=walduur, lambda_functie_kalendertijd / (lambda_functie_kalendertijd + 1 /doorlooptijd_invlieg),0) )
+ (1- P_op_boord) * IF(doorlooptijd_missie_met&gt;=walduur,lambda_functie_kalendertijd / (lambda_functie_kalendertijd + 1 / doorlooptijd_missie_met),0),0),"")</f>
        <v/>
      </c>
      <c r="ED28" s="96">
        <f>IF(OR(CO_rep&lt;&gt;"",CO_verv&lt;&gt;""),IF(CO_verv &lt;&gt;"",
(1-P_op_vloot)*((1 - P_op_wal)*IF(doorlooptijd_van_wal&gt;=walduur,lambda_functie_wal_kalendertijd/(lambda_functie_wal_kalendertijd+ 1/ doorlooptijd_van_wal),0)
+ P_op_wal*IF(Doorlooptijd_transport&gt;=walduur,lambda_functie_wal_kalendertijd / (lambda_functie_wal_kalendertijd +1/Doorlooptijd_transport),0) )+ P_op_vloot*IF(doorlooptijd_wal_zonder&gt;=walduur, lambda_functie_wal_kalendertijd / (lambda_functie_wal_kalendertijd + 1/ doorlooptijd_wal_zonder),0),0),"")</f>
        <v/>
      </c>
      <c r="EE28" s="96">
        <f>IF(OR(CO_rep&lt;&gt;"",CO_verv&lt;&gt;""),IF(CO_verv &lt;&gt;"",
(1-P_op_vloot)* ( (1- P_op_wal)* (IF(AND(doorlooptijd_van_wal&lt;&gt;0,doorlooptijd_van_wal&lt;walduur),(1 -EXP(-(lambda_functie_wal_kalendertijd + 1 / doorlooptijd_van_wal)*walduur))
* lambda_functie_wal_kalendertijd / (lambda_functie_wal_kalendertijd + 1/ doorlooptijd_van_wal),0))
+ P_op_wal*(IF(AND(Doorlooptijd_transport&lt;&gt;0,Doorlooptijd_transport&lt;walduur),(1 -EXP(-(lambda_functie_wal_kalendertijd + 1 / Doorlooptijd_transport)*walduur))
* lambda_functie_wal_kalendertijd /(lambda_functie_wal_kalendertijd + 1/ Doorlooptijd_transport),0)))
+ P_op_vloot*(IF(AND(doorlooptijd_wal_zonder&lt;&gt;0,doorlooptijd_wal_zonder&lt;walduur),(1 -EXP(-(lambda_functie_wal_kalendertijd + 1 / doorlooptijd_wal_zonder)*walduur))
* lambda_functie_wal_kalendertijd / (lambda_functie_wal_kalendertijd + 1/ doorlooptijd_wal_zonder),0)),0),"")</f>
        <v/>
      </c>
      <c r="EF28" s="66">
        <f>IF(ONB_aanvang="","",IF(tot_ONB_aanvang&lt;&gt;0,ONB_aanvang/tot_ONB_aanvang,0))</f>
        <v/>
      </c>
      <c r="EG28" s="115">
        <f>IF(Lijst_componenten="","", IF(OR(DZ28=0,DZ28=""),EG27, IF(EG27="",DZ28,1-(1-DZ28)*(1-EG27))))</f>
        <v/>
      </c>
      <c r="EH28" s="107" t="n"/>
      <c r="EI28" s="40">
        <f>IF(Invoer!BE48="","",Invoer!BE48)</f>
        <v/>
      </c>
      <c r="EJ28" s="71" t="n"/>
      <c r="EK28" s="120" t="n"/>
      <c r="EL28" s="119" t="n"/>
      <c r="EM28" s="107" t="n"/>
      <c r="EN28" s="72" t="n"/>
      <c r="EO28" s="107" t="n"/>
      <c r="EP28" s="107" t="n"/>
      <c r="EQ28" s="119" t="n"/>
      <c r="ER28" s="120" t="n"/>
      <c r="ES28" s="119" t="n"/>
      <c r="ET28" s="119" t="n"/>
      <c r="EU28" s="115">
        <f>IF(Invoer!AS48="","",Invoer!AS48)</f>
        <v/>
      </c>
      <c r="EV28" s="115">
        <f>IF(Invoer!AT48="","",Invoer!AT48)</f>
        <v/>
      </c>
      <c r="EW28" s="115">
        <f>IF(Invoer!AU48="","",Invoer!AU48)</f>
        <v/>
      </c>
      <c r="EX28" s="115">
        <f>IF(Invoer!AV48="","",Invoer!AV48)</f>
        <v/>
      </c>
      <c r="EY28" s="115">
        <f>IF(Invoer!AW48="","",Invoer!AW48)</f>
        <v/>
      </c>
      <c r="EZ28" s="115">
        <f>IF(Invoer!AX48="","",Invoer!AX48)</f>
        <v/>
      </c>
      <c r="FA28" s="115">
        <f>IF(Invoer!AY48="","",Invoer!AY48)</f>
        <v/>
      </c>
      <c r="FB28" s="115">
        <f>IF(Invoer!AZ48="","",Invoer!AZ48)</f>
        <v/>
      </c>
      <c r="FC28" s="115">
        <f>IF(Invoer!BA48="","",Invoer!BA48)</f>
        <v/>
      </c>
      <c r="FD28" s="115">
        <f>IF(Invoer!BB48="","",Invoer!BB48)</f>
        <v/>
      </c>
      <c r="FE28" s="348" t="n"/>
      <c r="FF28" s="118">
        <f>IF(AND(functie_1&lt;&gt;"",lambda&lt;&gt;""),lambda*m_schip,"")</f>
        <v/>
      </c>
      <c r="FG28" s="118">
        <f>IF(functie_1&lt;&gt;"",lambda_functie,"")</f>
        <v/>
      </c>
      <c r="FH28" s="118">
        <f>IF(functie_1&lt;&gt;"",ONB_missie,"")</f>
        <v/>
      </c>
      <c r="FI28" s="115">
        <f>IF(Lijst_componenten="","", IF(OR(FH28=0,FH28=""),FI27, IF(FI27="",FH28,1-(1-FH28)*(1-FI27))))</f>
        <v/>
      </c>
      <c r="FJ28" s="118">
        <f>IF(functie_1&lt;&gt;"",ONB_aanvang,"")</f>
        <v/>
      </c>
      <c r="FK28" s="115">
        <f>IF(Lijst_componenten="","", IF(OR(FJ28=0,FJ28=""),FK27, IF(FK27="",FJ28,1-(1-FJ28)*(1-FK27))))</f>
        <v/>
      </c>
      <c r="FL28" s="107" t="n"/>
      <c r="FM28" s="118">
        <f>IF(AND(functie_2&lt;&gt;"",lambda&lt;&gt;""),lambda*m_schip,"")</f>
        <v/>
      </c>
      <c r="FN28" s="118">
        <f>IF(functie_2&lt;&gt;"",lambda_functie,"")</f>
        <v/>
      </c>
      <c r="FO28" s="118">
        <f>IF(functie_2&lt;&gt;"",ONB_missie,"")</f>
        <v/>
      </c>
      <c r="FP28" s="115">
        <f>IF(Lijst_componenten="","", IF(OR(FO28=0,FO28=""),FP27, IF(FP27="",FO28,1-(1-FO28)*(1-FP27))))</f>
        <v/>
      </c>
      <c r="FQ28" s="118">
        <f>IF(functie_2&lt;&gt;"",ONB_aanvang,"")</f>
        <v/>
      </c>
      <c r="FR28" s="115">
        <f>IF(Lijst_componenten="","", IF(OR(FQ28=0,FQ28=""),FR27, IF(FR27="",FQ28,1-(1-FQ28)*(1-FR27))))</f>
        <v/>
      </c>
      <c r="FS28" s="107" t="n"/>
      <c r="FT28" s="118">
        <f>IF(AND(functie_3&lt;&gt;"",lambda&lt;&gt;""),lambda*m_schip,"")</f>
        <v/>
      </c>
      <c r="FU28" s="118">
        <f>IF(functie_3&lt;&gt;"",lambda_functie,"")</f>
        <v/>
      </c>
      <c r="FV28" s="118">
        <f>IF(functie_3&lt;&gt;"",ONB_missie,"")</f>
        <v/>
      </c>
      <c r="FW28" s="115">
        <f>IF(Lijst_componenten="","", IF(OR(FV28=0,FV28=""),FW27, IF(FW27="",FV28,1-(1-FV28)*(1-FW27))))</f>
        <v/>
      </c>
      <c r="FX28" s="118">
        <f>IF(functie_3&lt;&gt;"",ONB_aanvang,"")</f>
        <v/>
      </c>
      <c r="FY28" s="115">
        <f>IF(Lijst_componenten="","", IF(OR(FX28=0,FX28=""),FY27, IF(FY27="",FX28,1-(1-FX28)*(1-FY27))))</f>
        <v/>
      </c>
      <c r="FZ28" s="107" t="n"/>
      <c r="GA28" s="118">
        <f>IF(AND(functie_4&lt;&gt;"",lambda&lt;&gt;""),lambda*m_schip,"")</f>
        <v/>
      </c>
      <c r="GB28" s="118">
        <f>IF(functie_4&lt;&gt;"",lambda_functie,"")</f>
        <v/>
      </c>
      <c r="GC28" s="118">
        <f>IF(functie_4&lt;&gt;"",ONB_missie,"")</f>
        <v/>
      </c>
      <c r="GD28" s="115">
        <f>IF(Lijst_componenten="","", IF(OR(GC28=0,GC28=""),GD27, IF(GD27="",GC28,1-(1-GC28)*(1-GD27))))</f>
        <v/>
      </c>
      <c r="GE28" s="118">
        <f>IF(functie_4&lt;&gt;"",ONB_aanvang,"")</f>
        <v/>
      </c>
      <c r="GF28" s="115">
        <f>IF(Lijst_componenten="","", IF(OR(GE28=0,GE28=""),GF27, IF(GF27="",GE28,1-(1-GE28)*(1-GF27))))</f>
        <v/>
      </c>
      <c r="GG28" s="107" t="n"/>
      <c r="GH28" s="118">
        <f>IF(AND(functie_5&lt;&gt;"",lambda&lt;&gt;""),lambda*m_schip,"")</f>
        <v/>
      </c>
      <c r="GI28" s="118">
        <f>IF(functie_5&lt;&gt;"",lambda_functie,"")</f>
        <v/>
      </c>
      <c r="GJ28" s="118">
        <f>IF(functie_5&lt;&gt;"",ONB_missie,"")</f>
        <v/>
      </c>
      <c r="GK28" s="115">
        <f>IF(Lijst_componenten="","", IF(OR(GJ28=0,GJ28=""),GK27, IF(GK27="",GJ28,1-(1-GJ28)*(1-GK27))))</f>
        <v/>
      </c>
      <c r="GL28" s="118">
        <f>IF(functie_5&lt;&gt;"",ONB_aanvang,"")</f>
        <v/>
      </c>
      <c r="GM28" s="115">
        <f>IF(Lijst_componenten="","", IF(OR(GL28=0,GL28=""),GM27, IF(GM27="",GL28,1-(1-GL28)*(1-GM27))))</f>
        <v/>
      </c>
      <c r="GN28" s="107" t="n"/>
      <c r="GO28" s="118">
        <f>IF(AND(functie_6&lt;&gt;"",lambda&lt;&gt;""),lambda*m_schip,"")</f>
        <v/>
      </c>
      <c r="GP28" s="118">
        <f>IF(functie_6&lt;&gt;"",lambda_functie,"")</f>
        <v/>
      </c>
      <c r="GQ28" s="118">
        <f>IF(functie_6&lt;&gt;"",ONB_missie,"")</f>
        <v/>
      </c>
      <c r="GR28" s="115">
        <f>IF(Lijst_componenten="","", IF(OR(GQ28=0,GQ28=""),GR27, IF(GR27="",GQ28,1-(1-GQ28)*(1-GR27))))</f>
        <v/>
      </c>
      <c r="GS28" s="118">
        <f>IF(functie_6&lt;&gt;"",ONB_aanvang,"")</f>
        <v/>
      </c>
      <c r="GT28" s="115">
        <f>IF(Lijst_componenten="","", IF(OR(GS28=0,GS28=""),GT27, IF(GT27="",GS28,1-(1-GS28)*(1-GT27))))</f>
        <v/>
      </c>
      <c r="GU28" s="107" t="n"/>
      <c r="GV28" s="118">
        <f>IF(AND(functie_7&lt;&gt;"",lambda&lt;&gt;""),lambda*m_schip,"")</f>
        <v/>
      </c>
      <c r="GW28" s="118">
        <f>IF(functie_7&lt;&gt;"",lambda_functie,"")</f>
        <v/>
      </c>
      <c r="GX28" s="118">
        <f>IF(functie_7&lt;&gt;"",ONB_missie,"")</f>
        <v/>
      </c>
      <c r="GY28" s="115">
        <f>IF(Lijst_componenten="","", IF(OR(GX28=0,GX28=""),GY27, IF(GY27="",GX28,1-(1-GX28)*(1-GY27))))</f>
        <v/>
      </c>
      <c r="GZ28" s="118">
        <f>IF(functie_7&lt;&gt;"",ONB_aanvang,"")</f>
        <v/>
      </c>
      <c r="HA28" s="115">
        <f>IF(Lijst_componenten="","", IF(OR(GZ28=0,GZ28=""),HA27, IF(HA27="",GZ28,1-(1-GZ28)*(1-HA27))))</f>
        <v/>
      </c>
      <c r="HB28" s="107" t="n"/>
      <c r="HC28" s="118">
        <f>IF(AND(functie_8&lt;&gt;"",lambda&lt;&gt;""),lambda*m_schip,"")</f>
        <v/>
      </c>
      <c r="HD28" s="118">
        <f>IF(functie_8&lt;&gt;"",lambda_functie,"")</f>
        <v/>
      </c>
      <c r="HE28" s="118">
        <f>IF(functie_8&lt;&gt;"",ONB_missie,"")</f>
        <v/>
      </c>
      <c r="HF28" s="115">
        <f>IF(Lijst_componenten="","", IF(OR(HE28=0,HE28=""),HF27, IF(HF27="",HE28,1-(1-HE28)*(1-HF27))))</f>
        <v/>
      </c>
      <c r="HG28" s="118">
        <f>IF(functie_8&lt;&gt;"",ONB_aanvang,"")</f>
        <v/>
      </c>
      <c r="HH28" s="115">
        <f>IF(Lijst_componenten="","", IF(OR(HG28=0,HG28=""),HH27, IF(HH27="",HG28,1-(1-HG28)*(1-HH27))))</f>
        <v/>
      </c>
      <c r="HI28" s="107" t="n"/>
      <c r="HJ28" s="118">
        <f>IF(AND(functie_9&lt;&gt;"",lambda&lt;&gt;""),lambda*m_schip,"")</f>
        <v/>
      </c>
      <c r="HK28" s="118">
        <f>IF(functie_9&lt;&gt;"",lambda_functie,"")</f>
        <v/>
      </c>
      <c r="HL28" s="118">
        <f>IF(functie_9&lt;&gt;"",ONB_missie,"")</f>
        <v/>
      </c>
      <c r="HM28" s="115">
        <f>IF(Lijst_componenten="","", IF(OR(HL28=0,HL28=""),HM27, IF(HM27="",HL28,1-(1-HL28)*(1-HM27))))</f>
        <v/>
      </c>
      <c r="HN28" s="118">
        <f>IF(functie_9&lt;&gt;"",ONB_aanvang,"")</f>
        <v/>
      </c>
      <c r="HO28" s="115">
        <f>IF(Lijst_componenten="","", IF(OR(HN28=0,HN28=""),HO27, IF(HO27="",HN28,1-(1-HN28)*(1-HO27))))</f>
        <v/>
      </c>
      <c r="HP28" s="107" t="n"/>
      <c r="HQ28" s="118">
        <f>IF(AND(functie_10&lt;&gt;"",lambda&lt;&gt;""),lambda*m_schip,"")</f>
        <v/>
      </c>
      <c r="HR28" s="118">
        <f>IF(functie_10&lt;&gt;"",lambda_functie,"")</f>
        <v/>
      </c>
      <c r="HS28" s="118">
        <f>IF(functie_10&lt;&gt;"",ONB_missie,"")</f>
        <v/>
      </c>
      <c r="HT28" s="115">
        <f>IF(Lijst_componenten="","", IF(OR(HS28=0,HS28=""),HT27, IF(HT27="",HS28,1-(1-HS28)*(1-HT27))))</f>
        <v/>
      </c>
      <c r="HU28" s="118">
        <f>IF(functie_10&lt;&gt;"",ONB_aanvang,"")</f>
        <v/>
      </c>
      <c r="HV28" s="115">
        <f>IF(Lijst_componenten="","", IF(OR(HU28=0,HU28=""),HV27, IF(HV27="",HU28,1-(1-HU28)*(1-HV27))))</f>
        <v/>
      </c>
      <c r="HW28" s="353" t="n"/>
      <c r="HX28" s="113" t="n"/>
      <c r="HY28" s="353" t="n"/>
      <c r="HZ28" s="353" t="n"/>
      <c r="IA28" s="353" t="n"/>
      <c r="IB28" s="353" t="n"/>
      <c r="IC28" s="353" t="n"/>
      <c r="ID28" s="353" t="n"/>
      <c r="IE28" s="353" t="n"/>
      <c r="IF28" s="353" t="n"/>
      <c r="IG28" s="353" t="n"/>
      <c r="IH28" s="353" t="n"/>
      <c r="II28" s="353" t="n"/>
      <c r="IJ28" s="353" t="n"/>
      <c r="IK28" s="353" t="n"/>
      <c r="IL28" s="353" t="n"/>
      <c r="IM28" s="353" t="n"/>
      <c r="IN28" s="353" t="n"/>
      <c r="IO28" s="353" t="n"/>
      <c r="IP28" s="353" t="n"/>
      <c r="IQ28" s="353" t="n"/>
      <c r="IR28" s="353" t="n"/>
      <c r="IS28" s="353" t="n"/>
      <c r="IT28" s="353" t="n"/>
      <c r="IU28" s="353" t="n"/>
      <c r="IV28" s="353" t="n"/>
    </row>
    <row r="29" ht="12" customFormat="1" customHeight="1" s="353">
      <c r="A29" s="99" t="n">
        <v>12</v>
      </c>
      <c r="B29" s="649">
        <f>N(Invoer!B49)</f>
        <v/>
      </c>
      <c r="C29" s="649">
        <f>N(Invoer!C49)</f>
        <v/>
      </c>
      <c r="D29" s="649">
        <f>N(Invoer!D49)</f>
        <v/>
      </c>
      <c r="E29" s="649">
        <f>N(Invoer!E49)</f>
        <v/>
      </c>
      <c r="F29" s="649">
        <f>N(Invoer!F49)</f>
        <v/>
      </c>
      <c r="G29" s="649">
        <f>N(Invoer!G49)</f>
        <v/>
      </c>
      <c r="H29" s="649">
        <f>N(Invoer!H49)</f>
        <v/>
      </c>
      <c r="I29" s="649">
        <f>N(Invoer!I49)</f>
        <v/>
      </c>
      <c r="J29" s="649">
        <f>N(Invoer!J49)</f>
        <v/>
      </c>
      <c r="K29" s="649">
        <f>N(Invoer!K49)</f>
        <v/>
      </c>
      <c r="L29" s="58">
        <f>IF(Invoer!L49="","",Invoer!L49)</f>
        <v/>
      </c>
      <c r="M29" s="650">
        <f>N(Invoer!M49)</f>
        <v/>
      </c>
      <c r="N29" s="58">
        <f>IF(Invoer!N49="","",Invoer!N49)</f>
        <v/>
      </c>
      <c r="O29" s="119" t="n"/>
      <c r="P29" s="96">
        <f>IF(Invoer!BK49="","",Invoer!BK49)</f>
        <v/>
      </c>
      <c r="Q29" s="96">
        <f>IF(Invoer!BL49="","",Invoer!BL49)</f>
        <v/>
      </c>
      <c r="R29" s="96">
        <f>IF(Invoer!BM49="","",Invoer!BM49)</f>
        <v/>
      </c>
      <c r="S29" s="96">
        <f>IF(Invoer!BN49="","",Invoer!BN49)</f>
        <v/>
      </c>
      <c r="T29" s="96">
        <f>IF(Invoer!BO49="","",Invoer!BO49)</f>
        <v/>
      </c>
      <c r="U29" s="96">
        <f>IF(Invoer!BP49="","",Invoer!BP49)</f>
        <v/>
      </c>
      <c r="V29" s="60" t="n"/>
      <c r="W29" s="115">
        <f>IF(Invoer!BQ49="","",Invoer!BQ49)</f>
        <v/>
      </c>
      <c r="X29" s="115">
        <f>IF(Invoer!BR49="","",Invoer!BR49)</f>
        <v/>
      </c>
      <c r="Y29" s="60" t="n"/>
      <c r="Z29" s="115">
        <f>IF(Invoer!BS49="","",Invoer!BS49)</f>
        <v/>
      </c>
      <c r="AA29" s="115">
        <f>IF(Invoer!BT49="","",Invoer!BT49)</f>
        <v/>
      </c>
      <c r="AB29" s="115">
        <f>IF(Invoer!P49="","",Invoer!P49)</f>
        <v/>
      </c>
      <c r="AC29" s="60" t="n"/>
      <c r="AD29" s="34">
        <f>IF(Invoer!Q49="","",Invoer!Q49)</f>
        <v/>
      </c>
      <c r="AE29" s="110" t="n"/>
      <c r="AF29" s="96">
        <f>IF(Invoer!R49="","",Invoer!R49)</f>
        <v/>
      </c>
      <c r="AG29" s="107" t="n"/>
      <c r="AH29" s="107" t="n"/>
      <c r="AI29" s="658">
        <f>IF(N(Invoer!S49)=0,"",Invoer!S49)</f>
        <v/>
      </c>
      <c r="AJ29" s="659">
        <f>IF(Invoer!T49="","",Invoer!T49)</f>
        <v/>
      </c>
      <c r="AK29" s="365" t="n"/>
      <c r="AL29" s="659">
        <f>IF(Invoer!U49="","",Invoer!U49)</f>
        <v/>
      </c>
      <c r="AM29" s="659">
        <f>IF(Invoer!V49="","",Invoer!V49)</f>
        <v/>
      </c>
      <c r="AN29" s="659">
        <f>IF(Invoer!W49="","",Invoer!W49)</f>
        <v/>
      </c>
      <c r="AO29" s="368" t="n"/>
      <c r="AP29" s="660">
        <f>N(Invoer!X49)</f>
        <v/>
      </c>
      <c r="AQ29" s="660">
        <f>N(Invoer!Y49)</f>
        <v/>
      </c>
      <c r="AR29" s="660">
        <f>N(Invoer!Z49)</f>
        <v/>
      </c>
      <c r="AS29" s="660">
        <f>N(Invoer!AA49)</f>
        <v/>
      </c>
      <c r="AT29" s="660">
        <f>N(Invoer!AB49)</f>
        <v/>
      </c>
      <c r="AU29" s="660">
        <f>N(Invoer!AC49)</f>
        <v/>
      </c>
      <c r="AV29" s="368" t="n"/>
      <c r="AW29" s="661">
        <f>N(Invoer!AD49)</f>
        <v/>
      </c>
      <c r="AX29" s="368" t="n"/>
      <c r="AY29" s="541">
        <f>IF(Periodiciteit&lt;&gt;"",(uurtarief_wd*(IF(ISNUMBER(tijd_wd),tijd_wd,0))+uurtarief_td*(IF(ISNUMBER(tijd_td),tijd_td,0))+uurtarief_sb*(IF(ISNUMBER(tijd_sb),tijd_sb,0))+uurtarief_rw*(IF(ISNUMBER(tijd_rw),tijd_rw,0))+uurtarief_d*(IF(ISNUMBER(tijd_d),tijd_d,0))+uurtarief_3*(IF(ISNUMBER(tijd_3),tijd_3,0)) +(IF(ISNUMBER(f_vast),f_vast,0)))*(IF(Perio_int="j",1,IF(Perio_int="m",12,IF(Perio_int="w",52,IF(Perio_int="d",365,0)))))*Periodiciteit*aantal_componenten,"")</f>
        <v/>
      </c>
      <c r="AZ29" s="368" t="n"/>
      <c r="BA29" s="542">
        <f>IF(N(Invoer!AE49)=0,"",Invoer!AE49)</f>
        <v/>
      </c>
      <c r="BB29" s="368" t="n"/>
      <c r="BC29" s="542">
        <f>IF(AND(Periodiciteit&lt;&gt;"",Kosten_res_pk&lt;&gt;""), Kosten_res_pk*(IF(Perio_int="j",1,IF(Perio_int="m",12,IF(Perio_int="w",52,IF(Perio_int="d",365,0)))))*Periodiciteit*aantal_componenten,"")</f>
        <v/>
      </c>
      <c r="BD29" s="368" t="n"/>
      <c r="BE29" s="370" t="n"/>
      <c r="BF29" s="368" t="n"/>
      <c r="BG29" s="542">
        <f>IF(Kosten_res_trade &lt;&gt;"", Kosten_res_trade, Kosten_res_jaar )</f>
        <v/>
      </c>
      <c r="BH29" s="368" t="n"/>
      <c r="BI29" s="543">
        <f>IF(N(Invoer!AF49)=0,"",Invoer!AF49)</f>
        <v/>
      </c>
      <c r="BJ29" s="368" t="n"/>
      <c r="BK29" s="543">
        <f>IF(AND(Periodiciteit&lt;&gt;"",Gevolgkosten&lt;&gt;""), Gevolgkosten*(IF(Perio_int="j",1,IF(Perio_int="m",12,IF(Perio_int="w",52,IF(Perio_int="d",365,0)))))*Periodiciteit*aantal_componenten,"")</f>
        <v/>
      </c>
      <c r="BL29" s="368" t="n"/>
      <c r="BM29" s="660">
        <f>N(Invoer!AJ49)</f>
        <v/>
      </c>
      <c r="BN29" s="662">
        <f>N(Invoer!AK49)</f>
        <v/>
      </c>
      <c r="BO29" s="662">
        <f>N(Invoer!AL49)</f>
        <v/>
      </c>
      <c r="BP29" s="662">
        <f>N(Invoer!AM49)</f>
        <v/>
      </c>
      <c r="BQ29" s="368" t="n"/>
      <c r="BR29" s="662">
        <f>N(Invoer!AN49)</f>
        <v/>
      </c>
      <c r="BS29" s="543">
        <f>IF(N(Invoer!AO49)=0,"",Invoer!AO49)</f>
        <v/>
      </c>
      <c r="BT29" s="662">
        <f>N(Invoer!AP49)</f>
        <v/>
      </c>
      <c r="BU29" s="368" t="n"/>
      <c r="BV29" s="662">
        <f>N(Invoer!AQ49)</f>
        <v/>
      </c>
      <c r="BW29" s="663">
        <f>N(Invoer!AR49)</f>
        <v/>
      </c>
      <c r="BX29" s="480" t="n"/>
      <c r="BY29" s="477" t="n"/>
      <c r="BZ29" s="107" t="n"/>
      <c r="CA29" s="64">
        <f>IF(N(Invoer!AG49)=0,"",Invoer!AG49)</f>
        <v/>
      </c>
      <c r="CB29" s="657">
        <f>N(Invoer!AH49)</f>
        <v/>
      </c>
      <c r="CC29" s="657">
        <f>N(Invoer!AI49)</f>
        <v/>
      </c>
      <c r="CD29" s="64">
        <f>IF( OR(CO_rep&lt;&gt;"",CO_verv&lt;&gt;""),IF(lambda_fabrikant&lt;&gt;"",IF(Uitvoeren_missie="N", (1-EXP(-aantal_componenten*lambda_fabrikant*Missieduur*p_gebruik_missie))/Missieduur/aantal_componenten,
IF(doorlooptijd_missie_i &lt;&gt; 0,((aantal_componenten*lambda_fabrikant*(1/doorlooptijd_missie_i)/(aantal_componenten*lambda_fabrikant+1/doorlooptijd_missie_i))*Missieduur*p_gebruik_missie+(aantal_componenten*lambda_fabrikant)^2/(aantal_componenten*lambda_fabrikant+1/doorlooptijd_missie_i)^2*(1-EXP(-(aantal_componenten*lambda_fabrikant+1/doorlooptijd_missie_i)*Missieduur*p_gebruik_missie)))/Missieduur/aantal_componenten,lambda_fabrikant*p_gebruik_missie)),""),"")</f>
        <v/>
      </c>
      <c r="CE29" s="64">
        <f>IF( OR(CO_rep&lt;&gt;"",CO_verv&lt;&gt;""),IF(lambda_fabrikant&lt;&gt;"",IF(uitvoeren_GO = "J", (1-EXP(-(aantal_componenten*lambda_fabrikant*p_gebruik_wal* interval_groot_onderhoud/8760*Missies_per_jaar*walduur)))/ (interval_groot_onderhoud/8760*Missies_per_jaar*walduur) / aantal_componenten,IF(doorlooptijd_wal_i &lt;&gt; 0,((aantal_componenten*lambda_fabrikant*(1/doorlooptijd_wal_i)/(aantal_componenten*lambda_fabrikant+1/doorlooptijd_wal_i))*walduur*p_gebruik_wal+(aantal_componenten*lambda_fabrikant)^2/(aantal_componenten*lambda_fabrikant+1/doorlooptijd_wal_i)^2*(1-EXP(-(aantal_componenten*lambda_fabrikant+1/doorlooptijd_wal_i)*walduur*p_gebruik_wal)))/walduur/aantal_componenten,lambda_fabrikant*p_gebruik_wal)),""),"")</f>
        <v/>
      </c>
      <c r="CF29" s="64">
        <f>IF( OR(CO_rep&lt;&gt;"",CO_verv&lt;&gt;""),
IF(OR(lambda_missie_g&lt;&gt;"",lambda_wal_g&lt;&gt;""), "", IF(Perio_int="j",1/8760, IF(Perio_int="m",12/8760, IF(Perio_int="w",52/8760, IF(Perio_int="d",365/8760,"error") ) ) )*Periodiciteit),"")</f>
        <v/>
      </c>
      <c r="CG29" s="66">
        <f>IF(OR(CO_rep&lt;&gt;"",CO_verv&lt;&gt;""),1,"")</f>
        <v/>
      </c>
      <c r="CH29" s="64">
        <f>IF( OR(CO_rep&lt;&gt;"",CO_verv&lt;&gt;""),IF(lambda_fabrikant="",lambda_kalendertijd*missiepercentage*8760/(Missies_per_jaar*Missieduur),""),"")</f>
        <v/>
      </c>
      <c r="CI29" s="64">
        <f>IF( OR(CO_rep&lt;&gt;"",CO_verv&lt;&gt;""),IF(lambda_fabrikant="",lambda_kalendertijd*(1-missiepercentage)*8760/(Missies_per_jaar*walduur),""),"")</f>
        <v/>
      </c>
      <c r="CJ29" s="64">
        <f>IF( OR(CO_rep&lt;&gt;"",CO_verv&lt;&gt;""),
IF(OR(lambda_missie_g&lt;&gt;"",lambda_wal_g&lt;&gt;""), (lambda_missie_g*Missieduur + lambda_wal_g*walduur)/8760*Missies_per_jaar, lambda_kalendertijd),"")</f>
        <v/>
      </c>
      <c r="CK29" s="64">
        <f>IF(lambda&lt;&gt;"",m_schip*lambda,"")</f>
        <v/>
      </c>
      <c r="CL29" s="65">
        <f>IF(OR(CO_rep&lt;&gt;"",CO_verv&lt;&gt;""),IF(Redundantie = "J","?",1),"")</f>
        <v/>
      </c>
      <c r="CM29" s="64">
        <f>IF(lambda&lt;&gt;"",IF(Redundantie="J",IF(lambda_missie_g&lt;&gt;"",lambda_missie_g*redundantie_factor,lambda_missie*redundantie_factor),IF(lambda_missie_g&lt;&gt;"",lambda_missie_g*m_schip,lambda_missie*m_schip)),"")</f>
        <v/>
      </c>
      <c r="CN29" s="64">
        <f>IF(lambda&lt;&gt;"",lambda_functie*Missieduur*Missies_per_jaar/8760,"")</f>
        <v/>
      </c>
      <c r="CO29" s="64">
        <f>IF(lambda&lt;&gt;"",IF(Redundantie="J",IF(lambda_wal_g&lt;&gt;"",lambda_wal_g*redundantie_factor,lambda_wal*redundantie_factor),IF(lambda_wal_g&lt;&gt;"",lambda_wal_g*m_schip,lambda_wal*m_schip)),"")</f>
        <v/>
      </c>
      <c r="CP29" s="64">
        <f>IF(lambda&lt;&gt;"",lambda_functie_wal*walduur*Missies_per_jaar/8760,"")</f>
        <v/>
      </c>
      <c r="CQ29" s="107" t="n"/>
      <c r="CR29" s="115">
        <f>IF(OR(CO_verv&lt;&gt;"",CO_rep&lt;&gt;""),aantal_componenten,"")</f>
        <v/>
      </c>
      <c r="CS29" s="66">
        <f>IF( OR(CO_rep&lt;&gt;"",CO_verv&lt;&gt;""),IF(Aantal_res_boord=0,1,IF(lambda_missie_g&lt;&gt;"",1-POISSON(Aantal_res_boord-1,m_schip*lambda_missie_g*Missieduur,TRUE),1-POISSON(Aantal_res_boord-1,m_schip*lambda_missie*Missieduur,TRUE))),"")</f>
        <v/>
      </c>
      <c r="CT29" s="107" t="n"/>
      <c r="CU29" s="115">
        <f>IF(OR(CO_verv&lt;&gt;"",CO_rep&lt;&gt;""),Aantal_fregatten * m_schip,"")</f>
        <v/>
      </c>
      <c r="CV29" s="65">
        <f>IF(AND(lambda&gt;0,Aantal_ini_wal&gt;=0,Aantal_res_wal&lt;&gt;""),IF(Aantal_ini_wal&gt;Aantal_res_wal,(Aantal_ini_wal-Aantal_res_wal)/(m_vloot*lambda*8760),0),"")</f>
        <v/>
      </c>
      <c r="CW29" s="65">
        <f>IF(AND(lambda&gt;0,Aantal_max_wal&gt;=0,Aantal_res_wal&lt;&gt;""),IF(Aantal_max_wal&gt;Aantal_res_wal,(Aantal_max_wal-Aantal_res_wal)/(m_vloot*lambda*8760),0),"")</f>
        <v/>
      </c>
      <c r="CX29" s="68">
        <f>IF(AND(ini_periode&lt;&gt;"",bestel_interval&lt;&gt;"",besteltijd&lt;&gt;""),IF(ini_periode&gt;=Looptijd,0,
IF(bestel_interval&gt;=(Looptijd-ini_periode),IF(besteltijd&lt;(Looptijd-ini_periode),besteltijd/8760/Looptijd,(Looptijd-ini_periode)/Looptijd),
IF(((Looptijd-ini_periode)-(INT((Looptijd-ini_periode)/(besteltijd/8760+bestel_interval))))&gt;=besteltijd/8760,(1+INT((Looptijd-ini_periode)/(besteltijd/8760+bestel_interval)))*(besteltijd/8760)/Looptijd,(INT((Looptijd-ini_periode)/(besteltijd/8760+bestel_interval))*(besteltijd/8760)+((Looptijd-ini_periode)-(INT((Looptijd-ini_periode)/(besteltijd/8760+bestel_interval)))*(besteltijd/8760+bestel_interval)))/Looptijd))),"")</f>
        <v/>
      </c>
      <c r="CY29" s="66">
        <f>IF( OR(CO_rep&lt;&gt;"",CO_verv&lt;&gt;""),
IF( Aantal_res_wal+(Aantal_fregatten-1)*Aantal_res_boord=0, 1*IF(percentage_looptijd_inbestelling&lt;&gt;"",percentage_looptijd_inbestelling,1),
(1-POISSON(Aantal_res_wal-1+(Aantal_fregatten-1)*Aantal_res_boord, m_vloot*lambda*besteltijd,TRUE))*IF(percentage_looptijd_inbestelling&lt;&gt;"",percentage_looptijd_inbestelling,1)),"")</f>
        <v/>
      </c>
      <c r="CZ29" s="66">
        <f>IF( OR(CO_rep&lt;&gt;"",CO_verv&lt;&gt;""),IF( Aantal_res_wal=0,1, 1-POISSON(Aantal_res_boord+Aantal_res_wal-1, m_vloot*lambda*besteltijd,TRUE) ),"")</f>
        <v/>
      </c>
      <c r="DA29" s="107" t="n"/>
      <c r="DB29" s="115">
        <f>IF(OR(Uitvoeren_missie&lt;&gt;"J",uitvoeren_bedrijf="J",uitvoeren_GO="J"), "",
IF(TAO_revisie&lt;&gt;"", TAO_rev_verv_tijd,
IF(TAO_vervanging&lt;&gt;"", TAO_rev_verv_tijd,
IF(PO_doorlooptijd&lt;&gt;0, PO_doorlooptijd,"" ))))</f>
        <v/>
      </c>
      <c r="DC29" s="107" t="n"/>
      <c r="DD29" s="115">
        <f>IF(AND(CO_rep&lt;&gt;"", Uitvoeren_missie="N"), Missieduur,
IF(AND(CO_rep&lt;&gt;"", Uitvoeren_missie="J"), CO_zoektijd + CO_rep_verv_tijd,""))</f>
        <v/>
      </c>
      <c r="DE29" s="115">
        <f>IF(AND(CO_verv&lt;&gt;"", Uitvoeren_missie="N"), Missieduur,
IF(AND(CO_verv&lt;&gt;"", Uitvoeren_missie="J"), CO_zoektijd + CO_rep_verv_tijd,""))</f>
        <v/>
      </c>
      <c r="DF29" s="115">
        <f>IF(AND(CO_verv&lt;&gt;"", Uitvoeren_missie="N"), Missieduur,
IF(AND(CO_verv&lt;&gt;"", Uitvoeren_missie="J"), wachttijd_invlieg+CO_zoektijd + CO_rep_verv_tijd,""))</f>
        <v/>
      </c>
      <c r="DG29" s="115">
        <f>IF(AND(CO_verv&lt;&gt;"", Uitvoeren_missie="N"), Missieduur,
IF(AND(CO_verv&lt;&gt;"", Uitvoeren_missie="J"), besteltijd + wachttijd_invlieg + CO_zoektijd + CO_rep_verv_tijd,""))</f>
        <v/>
      </c>
      <c r="DH29" s="115">
        <f> IF(AND(doorlooptijd_missie_met&lt;&gt;"",CO_verv&lt;&gt;""), P_op_boord* ( P_op_vloot*doorlooptijd_missie_zonder + (1-P_op_vloot)*doorlooptijd_invlieg ) + (1-P_op_boord)* doorlooptijd_missie_met, "")</f>
        <v/>
      </c>
      <c r="DI29" s="115">
        <f>IF(CO_rep&lt;&gt;"",doorlooptijd_missie_rep,IF(AND(CO_verv&lt;&gt;"",Aantal_res_boord&lt;&gt;"",Aantal_res_boord&lt;&gt;0),doorlooptijd_missie_met,IF(AND(CO_verv&lt;&gt;"",Aantal_max_wal&lt;&gt;"",Aantal_max_wal&lt;&gt;0),doorlooptijd_invlieg,doorlooptijd_missie_zonder)))</f>
        <v/>
      </c>
      <c r="DJ29" s="115">
        <f>IF(doorlooptijd_missie_verv&lt;&gt;"", doorlooptijd_missie_verv, IF(doorlooptijd_missie_rep&lt;&gt;"", doorlooptijd_missie_rep,""))</f>
        <v/>
      </c>
      <c r="DK29" s="107" t="n"/>
      <c r="DL29" s="115">
        <f> IF(CO_rep&lt;&gt;"", CO_zoektijd + CO_rep_verv_tijd,"")</f>
        <v/>
      </c>
      <c r="DM29" s="115">
        <f> IF(AND(CO_verv&lt;&gt;"",CO_rep=""), wachttijd_wal+CO_zoektijd + CO_rep_verv_tijd,"")</f>
        <v/>
      </c>
      <c r="DN29" s="115">
        <f> IF(AND(CO_verv&lt;&gt;"",CO_rep=""), wachttijd_invlieg+CO_zoektijd + CO_rep_verv_tijd,"")</f>
        <v/>
      </c>
      <c r="DO29" s="115">
        <f>IF(AND(CO_verv&lt;&gt;"",CO_rep=""), besteltijd + wachttijd_wal + CO_zoektijd + CO_rep_verv_tijd,"")</f>
        <v/>
      </c>
      <c r="DP29" s="69">
        <f> IF(AND(doorlooptijd_van_wal&lt;&gt;"",CO_verv&lt;&gt;""), P_op_vloot*doorlooptijd_wal_zonder +
(1-P_op_vloot)*(P_op_wal*Doorlooptijd_transport+ (1-P_op_wal)*doorlooptijd_van_wal ), "")</f>
        <v/>
      </c>
      <c r="DQ29" s="115">
        <f>IF(CO_rep&lt;&gt;"",doorlooptijd_wal_rep,IF(AND(CO_verv&lt;&gt;"",AND(Aantal_res_boord&lt;&gt;"",Aantal_res_boord&lt;&gt;0)),doorlooptijd_van_wal,IF(AND(CO_verv&lt;&gt;"",AND(Aantal_max_wal&lt;&gt;"",Aantal_max_wal&lt;&gt;0)),Doorlooptijd_transport,doorlooptijd_wal_zonder)))</f>
        <v/>
      </c>
      <c r="DR29" s="115">
        <f>IF(doorlooptijd_wal_verv&lt;&gt;"", doorlooptijd_wal_verv, IF(doorlooptijd_wal_rep&lt;&gt;"", doorlooptijd_wal_rep,""))</f>
        <v/>
      </c>
      <c r="DS29" s="107" t="n"/>
      <c r="DT29" s="64">
        <f>IF(OR(CO_verv&lt;&gt;"",CO_rep&lt;&gt;""),IF(lambda_functie&lt;&gt;"",ONB_missie_tussenberekening_1 + ONB_missie_tussenberekening_2,""),"")</f>
        <v/>
      </c>
      <c r="DU29" s="64">
        <f>IF(OR(CO_rep&lt;&gt;"",CO_verv&lt;&gt;""),IF(lambda_functie&lt;&gt;"",IF(Uitvoeren_missie="N",1-(1-EXP(-lambda_functie*Missieduur))/(lambda_functie*Missieduur),IF(CO_verv&lt;&gt;"",
(1-P_op_boord)*IF(doorlooptijd_missie_met&lt;&gt;0,lambda_functie/(lambda_functie+(1/doorlooptijd_missie_met))-lambda_functie/((lambda_functie+(1/doorlooptijd_missie_met))^2*Missieduur)*(1-EXP(-(lambda_functie+(1/doorlooptijd_missie_met))*Missieduur)),0)+P_op_boord*((1-P_op_vloot)*IF(doorlooptijd_invlieg&lt;&gt;0,lambda_functie/(lambda_functie+(1 /doorlooptijd_invlieg))-lambda_functie/((lambda_functie+(1/doorlooptijd_invlieg))^2*Missieduur)*(1-EXP(-(lambda_functie+(1/doorlooptijd_invlieg))*Missieduur)),0)+P_op_vloot*IF(doorlooptijd_missie_zonder&lt;&gt;0,lambda_functie/(lambda_functie+(1/doorlooptijd_missie_zonder))-lambda_functie/((lambda_functie+(1/doorlooptijd_missie_zonder))^2*Missieduur)*(1-EXP(-(lambda_functie+(1/doorlooptijd_missie_zonder))*Missieduur)),0)),0)),0),"")</f>
        <v/>
      </c>
      <c r="DV29" s="64">
        <f>IF(OR(CO_rep&lt;&gt;"",CO_verv&lt;&gt;""),IF(lambda_functie&lt;&gt;"",IF(CO_rep&lt;&gt;"",
IF(doorlooptijd_missie_rep&lt;&gt;0,lambda_functie/(lambda_functie+(1/doorlooptijd_missie_rep))-lambda_functie/((lambda_functie+(1/doorlooptijd_missie_rep))^2*Missieduur)*(1-EXP(-(lambda_functie+(1/doorlooptijd_missie_rep))*Missieduur)),0),0)),"")</f>
        <v/>
      </c>
      <c r="DW29" s="66">
        <f>IF(ONB_missie="","",IF(tot_ONB_missie&lt;&gt;0,ONB_missie/tot_ONB_missie,0))</f>
        <v/>
      </c>
      <c r="DX29" s="115">
        <f>IF(Lijst_componenten="","", IF(OR(DT29=0,DT29=""),DX28, IF(DX28="",DT29,1-(1-DT29)*(1-DX28))))</f>
        <v/>
      </c>
      <c r="DY29" s="107" t="n"/>
      <c r="DZ29" s="96">
        <f>IF(OR(CO_rep&lt;&gt;"",CO_verv&lt;&gt;""),IF(uitvoeren_GO="J",ONB_tussenberekening_1,IF(CO_rep&lt;&gt;"",ONB_tussenberekening_2,ONB_tussenberekening_3+ONB_tussenberekening_4+ONB_tussenberekening_5)),"")</f>
        <v/>
      </c>
      <c r="EA29" s="96">
        <f>IF(OR(CO_rep&lt;&gt;"",CO_verv&lt;&gt;""),IF(AND(OR(lambda_functie_kalendertijd&lt;&gt;"",lambda_functie_wal_kalendertijd&lt;&gt;""),uitvoeren_GO="J"),
1-(1-EXP(-(lambda_functie_kalendertijd+lambda_functie_wal_kalendertijd)*interval_groot_onderhoud))
/((lambda_functie_kalendertijd+lambda_functie_wal_kalendertijd)*interval_groot_onderhoud),0),"")</f>
        <v/>
      </c>
      <c r="EB29" s="96">
        <f>IF(OR(CO_rep&lt;&gt;"",CO_verv&lt;&gt;""),IF(AND(CO_rep &lt;&gt;"",OR(doorlooptijd_missie_rep&gt;=walduur,doorlooptijd_wal_rep &gt;= walduur)),IF(doorlooptijd_missie_rep &gt;= walduur,lambda_functie_kalendertijd / (lambda_functie_kalendertijd + 1/doorlooptijd_missie_rep),0)
+ IF(doorlooptijd_wal_rep &gt;= walduur,lambda_functie_wal_kalendertijd / (lambda_functie_wal_kalendertijd + 1/doorlooptijd_wal_rep),0),IF(CO_rep &lt;&gt; "",(1 -EXP(-(lambda_functie_wal_kalendertijd + 1 / doorlooptijd_wal_rep)*walduur))
* lambda_functie_wal_kalendertijd / (lambda_functie_wal_kalendertijd + 1/ doorlooptijd_wal_rep),0)),"")</f>
        <v/>
      </c>
      <c r="EC29" s="96">
        <f>IF(OR(CO_rep&lt;&gt;"",CO_verv&lt;&gt;""),IF(CO_verv&lt;&gt;"",
P_op_boord* ( P_op_vloot*IF(doorlooptijd_missie_zonder&gt;=walduur, lambda_functie_kalendertijd / (lambda_functie_kalendertijd + 1/doorlooptijd_missie_zonder),0)+ (1- P_op_vloot)*IF(doorlooptijd_invlieg&gt;=walduur, lambda_functie_kalendertijd / (lambda_functie_kalendertijd + 1 /doorlooptijd_invlieg),0) )
+ (1- P_op_boord) * IF(doorlooptijd_missie_met&gt;=walduur,lambda_functie_kalendertijd / (lambda_functie_kalendertijd + 1 / doorlooptijd_missie_met),0),0),"")</f>
        <v/>
      </c>
      <c r="ED29" s="96">
        <f>IF(OR(CO_rep&lt;&gt;"",CO_verv&lt;&gt;""),IF(CO_verv &lt;&gt;"",
(1-P_op_vloot)*((1 - P_op_wal)*IF(doorlooptijd_van_wal&gt;=walduur,lambda_functie_wal_kalendertijd/(lambda_functie_wal_kalendertijd+ 1/ doorlooptijd_van_wal),0)
+ P_op_wal*IF(Doorlooptijd_transport&gt;=walduur,lambda_functie_wal_kalendertijd / (lambda_functie_wal_kalendertijd +1/Doorlooptijd_transport),0) )+ P_op_vloot*IF(doorlooptijd_wal_zonder&gt;=walduur, lambda_functie_wal_kalendertijd / (lambda_functie_wal_kalendertijd + 1/ doorlooptijd_wal_zonder),0),0),"")</f>
        <v/>
      </c>
      <c r="EE29" s="96">
        <f>IF(OR(CO_rep&lt;&gt;"",CO_verv&lt;&gt;""),IF(CO_verv &lt;&gt;"",
(1-P_op_vloot)* ( (1- P_op_wal)* (IF(AND(doorlooptijd_van_wal&lt;&gt;0,doorlooptijd_van_wal&lt;walduur),(1 -EXP(-(lambda_functie_wal_kalendertijd + 1 / doorlooptijd_van_wal)*walduur))
* lambda_functie_wal_kalendertijd / (lambda_functie_wal_kalendertijd + 1/ doorlooptijd_van_wal),0))
+ P_op_wal*(IF(AND(Doorlooptijd_transport&lt;&gt;0,Doorlooptijd_transport&lt;walduur),(1 -EXP(-(lambda_functie_wal_kalendertijd + 1 / Doorlooptijd_transport)*walduur))
* lambda_functie_wal_kalendertijd /(lambda_functie_wal_kalendertijd + 1/ Doorlooptijd_transport),0)))
+ P_op_vloot*(IF(AND(doorlooptijd_wal_zonder&lt;&gt;0,doorlooptijd_wal_zonder&lt;walduur),(1 -EXP(-(lambda_functie_wal_kalendertijd + 1 / doorlooptijd_wal_zonder)*walduur))
* lambda_functie_wal_kalendertijd / (lambda_functie_wal_kalendertijd + 1/ doorlooptijd_wal_zonder),0)),0),"")</f>
        <v/>
      </c>
      <c r="EF29" s="66">
        <f>IF(ONB_aanvang="","",IF(tot_ONB_aanvang&lt;&gt;0,ONB_aanvang/tot_ONB_aanvang,0))</f>
        <v/>
      </c>
      <c r="EG29" s="115">
        <f>IF(Lijst_componenten="","", IF(OR(DZ29=0,DZ29=""),EG28, IF(EG28="",DZ29,1-(1-DZ29)*(1-EG28))))</f>
        <v/>
      </c>
      <c r="EH29" s="107" t="n"/>
      <c r="EI29" s="40">
        <f>IF(Invoer!BE49="","",Invoer!BE49)</f>
        <v/>
      </c>
      <c r="EJ29" s="71" t="n"/>
      <c r="EK29" s="120" t="n"/>
      <c r="EL29" s="119" t="n"/>
      <c r="EM29" s="107" t="n"/>
      <c r="EN29" s="72" t="n"/>
      <c r="EO29" s="107" t="n"/>
      <c r="EP29" s="107" t="n"/>
      <c r="EQ29" s="119" t="n"/>
      <c r="ER29" s="120" t="n"/>
      <c r="ES29" s="119" t="n"/>
      <c r="ET29" s="119" t="n"/>
      <c r="EU29" s="115">
        <f>IF(Invoer!AS49="","",Invoer!AS49)</f>
        <v/>
      </c>
      <c r="EV29" s="115">
        <f>IF(Invoer!AT49="","",Invoer!AT49)</f>
        <v/>
      </c>
      <c r="EW29" s="115">
        <f>IF(Invoer!AU49="","",Invoer!AU49)</f>
        <v/>
      </c>
      <c r="EX29" s="115">
        <f>IF(Invoer!AV49="","",Invoer!AV49)</f>
        <v/>
      </c>
      <c r="EY29" s="115">
        <f>IF(Invoer!AW49="","",Invoer!AW49)</f>
        <v/>
      </c>
      <c r="EZ29" s="115">
        <f>IF(Invoer!AX49="","",Invoer!AX49)</f>
        <v/>
      </c>
      <c r="FA29" s="115">
        <f>IF(Invoer!AY49="","",Invoer!AY49)</f>
        <v/>
      </c>
      <c r="FB29" s="115">
        <f>IF(Invoer!AZ49="","",Invoer!AZ49)</f>
        <v/>
      </c>
      <c r="FC29" s="115">
        <f>IF(Invoer!BA49="","",Invoer!BA49)</f>
        <v/>
      </c>
      <c r="FD29" s="115">
        <f>IF(Invoer!BB49="","",Invoer!BB49)</f>
        <v/>
      </c>
      <c r="FE29" s="348" t="n"/>
      <c r="FF29" s="118">
        <f>IF(AND(functie_1&lt;&gt;"",lambda&lt;&gt;""),lambda*m_schip,"")</f>
        <v/>
      </c>
      <c r="FG29" s="118">
        <f>IF(functie_1&lt;&gt;"",lambda_functie,"")</f>
        <v/>
      </c>
      <c r="FH29" s="118">
        <f>IF(functie_1&lt;&gt;"",ONB_missie,"")</f>
        <v/>
      </c>
      <c r="FI29" s="115">
        <f>IF(Lijst_componenten="","", IF(OR(FH29=0,FH29=""),FI28, IF(FI28="",FH29,1-(1-FH29)*(1-FI28))))</f>
        <v/>
      </c>
      <c r="FJ29" s="118">
        <f>IF(functie_1&lt;&gt;"",ONB_aanvang,"")</f>
        <v/>
      </c>
      <c r="FK29" s="115">
        <f>IF(Lijst_componenten="","", IF(OR(FJ29=0,FJ29=""),FK28, IF(FK28="",FJ29,1-(1-FJ29)*(1-FK28))))</f>
        <v/>
      </c>
      <c r="FL29" s="107" t="n"/>
      <c r="FM29" s="118">
        <f>IF(AND(functie_2&lt;&gt;"",lambda&lt;&gt;""),lambda*m_schip,"")</f>
        <v/>
      </c>
      <c r="FN29" s="118">
        <f>IF(functie_2&lt;&gt;"",lambda_functie,"")</f>
        <v/>
      </c>
      <c r="FO29" s="118">
        <f>IF(functie_2&lt;&gt;"",ONB_missie,"")</f>
        <v/>
      </c>
      <c r="FP29" s="115">
        <f>IF(Lijst_componenten="","", IF(OR(FO29=0,FO29=""),FP28, IF(FP28="",FO29,1-(1-FO29)*(1-FP28))))</f>
        <v/>
      </c>
      <c r="FQ29" s="118">
        <f>IF(functie_2&lt;&gt;"",ONB_aanvang,"")</f>
        <v/>
      </c>
      <c r="FR29" s="115">
        <f>IF(Lijst_componenten="","", IF(OR(FQ29=0,FQ29=""),FR28, IF(FR28="",FQ29,1-(1-FQ29)*(1-FR28))))</f>
        <v/>
      </c>
      <c r="FS29" s="107" t="n"/>
      <c r="FT29" s="118">
        <f>IF(AND(functie_3&lt;&gt;"",lambda&lt;&gt;""),lambda*m_schip,"")</f>
        <v/>
      </c>
      <c r="FU29" s="118">
        <f>IF(functie_3&lt;&gt;"",lambda_functie,"")</f>
        <v/>
      </c>
      <c r="FV29" s="118">
        <f>IF(functie_3&lt;&gt;"",ONB_missie,"")</f>
        <v/>
      </c>
      <c r="FW29" s="115">
        <f>IF(Lijst_componenten="","", IF(OR(FV29=0,FV29=""),FW28, IF(FW28="",FV29,1-(1-FV29)*(1-FW28))))</f>
        <v/>
      </c>
      <c r="FX29" s="118">
        <f>IF(functie_3&lt;&gt;"",ONB_aanvang,"")</f>
        <v/>
      </c>
      <c r="FY29" s="115">
        <f>IF(Lijst_componenten="","", IF(OR(FX29=0,FX29=""),FY28, IF(FY28="",FX29,1-(1-FX29)*(1-FY28))))</f>
        <v/>
      </c>
      <c r="FZ29" s="107" t="n"/>
      <c r="GA29" s="118">
        <f>IF(AND(functie_4&lt;&gt;"",lambda&lt;&gt;""),lambda*m_schip,"")</f>
        <v/>
      </c>
      <c r="GB29" s="118">
        <f>IF(functie_4&lt;&gt;"",lambda_functie,"")</f>
        <v/>
      </c>
      <c r="GC29" s="118">
        <f>IF(functie_4&lt;&gt;"",ONB_missie,"")</f>
        <v/>
      </c>
      <c r="GD29" s="115">
        <f>IF(Lijst_componenten="","", IF(OR(GC29=0,GC29=""),GD28, IF(GD28="",GC29,1-(1-GC29)*(1-GD28))))</f>
        <v/>
      </c>
      <c r="GE29" s="118">
        <f>IF(functie_4&lt;&gt;"",ONB_aanvang,"")</f>
        <v/>
      </c>
      <c r="GF29" s="115">
        <f>IF(Lijst_componenten="","", IF(OR(GE29=0,GE29=""),GF28, IF(GF28="",GE29,1-(1-GE29)*(1-GF28))))</f>
        <v/>
      </c>
      <c r="GG29" s="107" t="n"/>
      <c r="GH29" s="118">
        <f>IF(AND(functie_5&lt;&gt;"",lambda&lt;&gt;""),lambda*m_schip,"")</f>
        <v/>
      </c>
      <c r="GI29" s="118">
        <f>IF(functie_5&lt;&gt;"",lambda_functie,"")</f>
        <v/>
      </c>
      <c r="GJ29" s="118">
        <f>IF(functie_5&lt;&gt;"",ONB_missie,"")</f>
        <v/>
      </c>
      <c r="GK29" s="115">
        <f>IF(Lijst_componenten="","", IF(OR(GJ29=0,GJ29=""),GK28, IF(GK28="",GJ29,1-(1-GJ29)*(1-GK28))))</f>
        <v/>
      </c>
      <c r="GL29" s="118">
        <f>IF(functie_5&lt;&gt;"",ONB_aanvang,"")</f>
        <v/>
      </c>
      <c r="GM29" s="115">
        <f>IF(Lijst_componenten="","", IF(OR(GL29=0,GL29=""),GM28, IF(GM28="",GL29,1-(1-GL29)*(1-GM28))))</f>
        <v/>
      </c>
      <c r="GN29" s="107" t="n"/>
      <c r="GO29" s="118">
        <f>IF(AND(functie_6&lt;&gt;"",lambda&lt;&gt;""),lambda*m_schip,"")</f>
        <v/>
      </c>
      <c r="GP29" s="118">
        <f>IF(functie_6&lt;&gt;"",lambda_functie,"")</f>
        <v/>
      </c>
      <c r="GQ29" s="118">
        <f>IF(functie_6&lt;&gt;"",ONB_missie,"")</f>
        <v/>
      </c>
      <c r="GR29" s="115">
        <f>IF(Lijst_componenten="","", IF(OR(GQ29=0,GQ29=""),GR28, IF(GR28="",GQ29,1-(1-GQ29)*(1-GR28))))</f>
        <v/>
      </c>
      <c r="GS29" s="118">
        <f>IF(functie_6&lt;&gt;"",ONB_aanvang,"")</f>
        <v/>
      </c>
      <c r="GT29" s="115">
        <f>IF(Lijst_componenten="","", IF(OR(GS29=0,GS29=""),GT28, IF(GT28="",GS29,1-(1-GS29)*(1-GT28))))</f>
        <v/>
      </c>
      <c r="GU29" s="107" t="n"/>
      <c r="GV29" s="118">
        <f>IF(AND(functie_7&lt;&gt;"",lambda&lt;&gt;""),lambda*m_schip,"")</f>
        <v/>
      </c>
      <c r="GW29" s="118">
        <f>IF(functie_7&lt;&gt;"",lambda_functie,"")</f>
        <v/>
      </c>
      <c r="GX29" s="118">
        <f>IF(functie_7&lt;&gt;"",ONB_missie,"")</f>
        <v/>
      </c>
      <c r="GY29" s="115">
        <f>IF(Lijst_componenten="","", IF(OR(GX29=0,GX29=""),GY28, IF(GY28="",GX29,1-(1-GX29)*(1-GY28))))</f>
        <v/>
      </c>
      <c r="GZ29" s="118">
        <f>IF(functie_7&lt;&gt;"",ONB_aanvang,"")</f>
        <v/>
      </c>
      <c r="HA29" s="115">
        <f>IF(Lijst_componenten="","", IF(OR(GZ29=0,GZ29=""),HA28, IF(HA28="",GZ29,1-(1-GZ29)*(1-HA28))))</f>
        <v/>
      </c>
      <c r="HB29" s="107" t="n"/>
      <c r="HC29" s="118">
        <f>IF(AND(functie_8&lt;&gt;"",lambda&lt;&gt;""),lambda*m_schip,"")</f>
        <v/>
      </c>
      <c r="HD29" s="118">
        <f>IF(functie_8&lt;&gt;"",lambda_functie,"")</f>
        <v/>
      </c>
      <c r="HE29" s="118">
        <f>IF(functie_8&lt;&gt;"",ONB_missie,"")</f>
        <v/>
      </c>
      <c r="HF29" s="115">
        <f>IF(Lijst_componenten="","", IF(OR(HE29=0,HE29=""),HF28, IF(HF28="",HE29,1-(1-HE29)*(1-HF28))))</f>
        <v/>
      </c>
      <c r="HG29" s="118">
        <f>IF(functie_8&lt;&gt;"",ONB_aanvang,"")</f>
        <v/>
      </c>
      <c r="HH29" s="115">
        <f>IF(Lijst_componenten="","", IF(OR(HG29=0,HG29=""),HH28, IF(HH28="",HG29,1-(1-HG29)*(1-HH28))))</f>
        <v/>
      </c>
      <c r="HI29" s="107" t="n"/>
      <c r="HJ29" s="118">
        <f>IF(AND(functie_9&lt;&gt;"",lambda&lt;&gt;""),lambda*m_schip,"")</f>
        <v/>
      </c>
      <c r="HK29" s="118">
        <f>IF(functie_9&lt;&gt;"",lambda_functie,"")</f>
        <v/>
      </c>
      <c r="HL29" s="118">
        <f>IF(functie_9&lt;&gt;"",ONB_missie,"")</f>
        <v/>
      </c>
      <c r="HM29" s="115">
        <f>IF(Lijst_componenten="","", IF(OR(HL29=0,HL29=""),HM28, IF(HM28="",HL29,1-(1-HL29)*(1-HM28))))</f>
        <v/>
      </c>
      <c r="HN29" s="118">
        <f>IF(functie_9&lt;&gt;"",ONB_aanvang,"")</f>
        <v/>
      </c>
      <c r="HO29" s="115">
        <f>IF(Lijst_componenten="","", IF(OR(HN29=0,HN29=""),HO28, IF(HO28="",HN29,1-(1-HN29)*(1-HO28))))</f>
        <v/>
      </c>
      <c r="HP29" s="107" t="n"/>
      <c r="HQ29" s="118">
        <f>IF(AND(functie_10&lt;&gt;"",lambda&lt;&gt;""),lambda*m_schip,"")</f>
        <v/>
      </c>
      <c r="HR29" s="118">
        <f>IF(functie_10&lt;&gt;"",lambda_functie,"")</f>
        <v/>
      </c>
      <c r="HS29" s="118">
        <f>IF(functie_10&lt;&gt;"",ONB_missie,"")</f>
        <v/>
      </c>
      <c r="HT29" s="115">
        <f>IF(Lijst_componenten="","", IF(OR(HS29=0,HS29=""),HT28, IF(HT28="",HS29,1-(1-HS29)*(1-HT28))))</f>
        <v/>
      </c>
      <c r="HU29" s="118">
        <f>IF(functie_10&lt;&gt;"",ONB_aanvang,"")</f>
        <v/>
      </c>
      <c r="HV29" s="115">
        <f>IF(Lijst_componenten="","", IF(OR(HU29=0,HU29=""),HV28, IF(HV28="",HU29,1-(1-HU29)*(1-HV28))))</f>
        <v/>
      </c>
      <c r="HW29" s="353" t="n"/>
      <c r="HX29" s="113" t="n"/>
      <c r="HY29" s="353" t="n"/>
      <c r="HZ29" s="353" t="n"/>
      <c r="IA29" s="353" t="n"/>
      <c r="IB29" s="353" t="n"/>
      <c r="IC29" s="353" t="n"/>
      <c r="ID29" s="353" t="n"/>
      <c r="IE29" s="353" t="n"/>
      <c r="IF29" s="353" t="n"/>
      <c r="IG29" s="353" t="n"/>
      <c r="IH29" s="353" t="n"/>
      <c r="II29" s="353" t="n"/>
      <c r="IJ29" s="353" t="n"/>
      <c r="IK29" s="353" t="n"/>
      <c r="IL29" s="353" t="n"/>
      <c r="IM29" s="353" t="n"/>
      <c r="IN29" s="353" t="n"/>
      <c r="IO29" s="353" t="n"/>
      <c r="IP29" s="353" t="n"/>
      <c r="IQ29" s="353" t="n"/>
      <c r="IR29" s="353" t="n"/>
      <c r="IS29" s="353" t="n"/>
      <c r="IT29" s="353" t="n"/>
      <c r="IU29" s="353" t="n"/>
      <c r="IV29" s="353" t="n"/>
    </row>
    <row r="30" ht="12" customFormat="1" customHeight="1" s="353">
      <c r="A30" s="99" t="n">
        <v>13</v>
      </c>
      <c r="B30" s="649">
        <f>N(Invoer!B50)</f>
        <v/>
      </c>
      <c r="C30" s="649">
        <f>N(Invoer!C50)</f>
        <v/>
      </c>
      <c r="D30" s="649">
        <f>N(Invoer!D50)</f>
        <v/>
      </c>
      <c r="E30" s="649">
        <f>N(Invoer!E50)</f>
        <v/>
      </c>
      <c r="F30" s="649">
        <f>N(Invoer!F50)</f>
        <v/>
      </c>
      <c r="G30" s="649">
        <f>N(Invoer!G50)</f>
        <v/>
      </c>
      <c r="H30" s="649">
        <f>N(Invoer!H50)</f>
        <v/>
      </c>
      <c r="I30" s="649">
        <f>N(Invoer!I50)</f>
        <v/>
      </c>
      <c r="J30" s="649">
        <f>N(Invoer!J50)</f>
        <v/>
      </c>
      <c r="K30" s="649">
        <f>N(Invoer!K50)</f>
        <v/>
      </c>
      <c r="L30" s="58">
        <f>IF(Invoer!L50="","",Invoer!L50)</f>
        <v/>
      </c>
      <c r="M30" s="650">
        <f>N(Invoer!M50)</f>
        <v/>
      </c>
      <c r="N30" s="58">
        <f>IF(Invoer!N50="","",Invoer!N50)</f>
        <v/>
      </c>
      <c r="O30" s="119" t="n"/>
      <c r="P30" s="96">
        <f>IF(Invoer!BK50="","",Invoer!BK50)</f>
        <v/>
      </c>
      <c r="Q30" s="96">
        <f>IF(Invoer!BL50="","",Invoer!BL50)</f>
        <v/>
      </c>
      <c r="R30" s="96">
        <f>IF(Invoer!BM50="","",Invoer!BM50)</f>
        <v/>
      </c>
      <c r="S30" s="96">
        <f>IF(Invoer!BN50="","",Invoer!BN50)</f>
        <v/>
      </c>
      <c r="T30" s="96">
        <f>IF(Invoer!BO50="","",Invoer!BO50)</f>
        <v/>
      </c>
      <c r="U30" s="96">
        <f>IF(Invoer!BP50="","",Invoer!BP50)</f>
        <v/>
      </c>
      <c r="V30" s="60" t="n"/>
      <c r="W30" s="115">
        <f>IF(Invoer!BQ50="","",Invoer!BQ50)</f>
        <v/>
      </c>
      <c r="X30" s="115">
        <f>IF(Invoer!BR50="","",Invoer!BR50)</f>
        <v/>
      </c>
      <c r="Y30" s="60" t="n"/>
      <c r="Z30" s="115">
        <f>IF(Invoer!BS50="","",Invoer!BS50)</f>
        <v/>
      </c>
      <c r="AA30" s="115">
        <f>IF(Invoer!BT50="","",Invoer!BT50)</f>
        <v/>
      </c>
      <c r="AB30" s="115">
        <f>IF(Invoer!P50="","",Invoer!P50)</f>
        <v/>
      </c>
      <c r="AC30" s="60" t="n"/>
      <c r="AD30" s="34">
        <f>IF(Invoer!Q50="","",Invoer!Q50)</f>
        <v/>
      </c>
      <c r="AE30" s="110" t="n"/>
      <c r="AF30" s="96">
        <f>IF(Invoer!R50="","",Invoer!R50)</f>
        <v/>
      </c>
      <c r="AG30" s="107" t="n"/>
      <c r="AH30" s="107" t="n"/>
      <c r="AI30" s="658">
        <f>IF(N(Invoer!S50)=0,"",Invoer!S50)</f>
        <v/>
      </c>
      <c r="AJ30" s="659">
        <f>IF(Invoer!T50="","",Invoer!T50)</f>
        <v/>
      </c>
      <c r="AK30" s="365" t="n"/>
      <c r="AL30" s="659">
        <f>IF(Invoer!U50="","",Invoer!U50)</f>
        <v/>
      </c>
      <c r="AM30" s="659">
        <f>IF(Invoer!V50="","",Invoer!V50)</f>
        <v/>
      </c>
      <c r="AN30" s="659">
        <f>IF(Invoer!W50="","",Invoer!W50)</f>
        <v/>
      </c>
      <c r="AO30" s="368" t="n"/>
      <c r="AP30" s="660">
        <f>N(Invoer!X50)</f>
        <v/>
      </c>
      <c r="AQ30" s="660">
        <f>N(Invoer!Y50)</f>
        <v/>
      </c>
      <c r="AR30" s="660">
        <f>N(Invoer!Z50)</f>
        <v/>
      </c>
      <c r="AS30" s="660">
        <f>N(Invoer!AA50)</f>
        <v/>
      </c>
      <c r="AT30" s="660">
        <f>N(Invoer!AB50)</f>
        <v/>
      </c>
      <c r="AU30" s="660">
        <f>N(Invoer!AC50)</f>
        <v/>
      </c>
      <c r="AV30" s="368" t="n"/>
      <c r="AW30" s="661">
        <f>N(Invoer!AD50)</f>
        <v/>
      </c>
      <c r="AX30" s="368" t="n"/>
      <c r="AY30" s="541">
        <f>IF(Periodiciteit&lt;&gt;"",(uurtarief_wd*(IF(ISNUMBER(tijd_wd),tijd_wd,0))+uurtarief_td*(IF(ISNUMBER(tijd_td),tijd_td,0))+uurtarief_sb*(IF(ISNUMBER(tijd_sb),tijd_sb,0))+uurtarief_rw*(IF(ISNUMBER(tijd_rw),tijd_rw,0))+uurtarief_d*(IF(ISNUMBER(tijd_d),tijd_d,0))+uurtarief_3*(IF(ISNUMBER(tijd_3),tijd_3,0)) +(IF(ISNUMBER(f_vast),f_vast,0)))*(IF(Perio_int="j",1,IF(Perio_int="m",12,IF(Perio_int="w",52,IF(Perio_int="d",365,0)))))*Periodiciteit*aantal_componenten,"")</f>
        <v/>
      </c>
      <c r="AZ30" s="368" t="n"/>
      <c r="BA30" s="542">
        <f>IF(N(Invoer!AE50)=0,"",Invoer!AE50)</f>
        <v/>
      </c>
      <c r="BB30" s="368" t="n"/>
      <c r="BC30" s="542">
        <f>IF(AND(Periodiciteit&lt;&gt;"",Kosten_res_pk&lt;&gt;""), Kosten_res_pk*(IF(Perio_int="j",1,IF(Perio_int="m",12,IF(Perio_int="w",52,IF(Perio_int="d",365,0)))))*Periodiciteit*aantal_componenten,"")</f>
        <v/>
      </c>
      <c r="BD30" s="368" t="n"/>
      <c r="BE30" s="370" t="n"/>
      <c r="BF30" s="368" t="n"/>
      <c r="BG30" s="542">
        <f>IF(Kosten_res_trade &lt;&gt;"", Kosten_res_trade, Kosten_res_jaar )</f>
        <v/>
      </c>
      <c r="BH30" s="368" t="n"/>
      <c r="BI30" s="543">
        <f>IF(N(Invoer!AF50)=0,"",Invoer!AF50)</f>
        <v/>
      </c>
      <c r="BJ30" s="368" t="n"/>
      <c r="BK30" s="543">
        <f>IF(AND(Periodiciteit&lt;&gt;"",Gevolgkosten&lt;&gt;""), Gevolgkosten*(IF(Perio_int="j",1,IF(Perio_int="m",12,IF(Perio_int="w",52,IF(Perio_int="d",365,0)))))*Periodiciteit*aantal_componenten,"")</f>
        <v/>
      </c>
      <c r="BL30" s="368" t="n"/>
      <c r="BM30" s="660">
        <f>N(Invoer!AJ50)</f>
        <v/>
      </c>
      <c r="BN30" s="662">
        <f>N(Invoer!AK50)</f>
        <v/>
      </c>
      <c r="BO30" s="662">
        <f>N(Invoer!AL50)</f>
        <v/>
      </c>
      <c r="BP30" s="662">
        <f>N(Invoer!AM50)</f>
        <v/>
      </c>
      <c r="BQ30" s="368" t="n"/>
      <c r="BR30" s="662">
        <f>N(Invoer!AN50)</f>
        <v/>
      </c>
      <c r="BS30" s="543">
        <f>IF(N(Invoer!AO50)=0,"",Invoer!AO50)</f>
        <v/>
      </c>
      <c r="BT30" s="662">
        <f>N(Invoer!AP50)</f>
        <v/>
      </c>
      <c r="BU30" s="368" t="n"/>
      <c r="BV30" s="662">
        <f>N(Invoer!AQ50)</f>
        <v/>
      </c>
      <c r="BW30" s="663">
        <f>N(Invoer!AR50)</f>
        <v/>
      </c>
      <c r="BX30" s="480" t="n"/>
      <c r="BY30" s="477" t="n"/>
      <c r="BZ30" s="107" t="n"/>
      <c r="CA30" s="64">
        <f>IF(N(Invoer!AG50)=0,"",Invoer!AG50)</f>
        <v/>
      </c>
      <c r="CB30" s="657">
        <f>N(Invoer!AH50)</f>
        <v/>
      </c>
      <c r="CC30" s="657">
        <f>N(Invoer!AI50)</f>
        <v/>
      </c>
      <c r="CD30" s="64">
        <f>IF( OR(CO_rep&lt;&gt;"",CO_verv&lt;&gt;""),IF(lambda_fabrikant&lt;&gt;"",IF(Uitvoeren_missie="N", (1-EXP(-aantal_componenten*lambda_fabrikant*Missieduur*p_gebruik_missie))/Missieduur/aantal_componenten,
IF(doorlooptijd_missie_i &lt;&gt; 0,((aantal_componenten*lambda_fabrikant*(1/doorlooptijd_missie_i)/(aantal_componenten*lambda_fabrikant+1/doorlooptijd_missie_i))*Missieduur*p_gebruik_missie+(aantal_componenten*lambda_fabrikant)^2/(aantal_componenten*lambda_fabrikant+1/doorlooptijd_missie_i)^2*(1-EXP(-(aantal_componenten*lambda_fabrikant+1/doorlooptijd_missie_i)*Missieduur*p_gebruik_missie)))/Missieduur/aantal_componenten,lambda_fabrikant*p_gebruik_missie)),""),"")</f>
        <v/>
      </c>
      <c r="CE30" s="64">
        <f>IF( OR(CO_rep&lt;&gt;"",CO_verv&lt;&gt;""),IF(lambda_fabrikant&lt;&gt;"",IF(uitvoeren_GO = "J", (1-EXP(-(aantal_componenten*lambda_fabrikant*p_gebruik_wal* interval_groot_onderhoud/8760*Missies_per_jaar*walduur)))/ (interval_groot_onderhoud/8760*Missies_per_jaar*walduur) / aantal_componenten,IF(doorlooptijd_wal_i &lt;&gt; 0,((aantal_componenten*lambda_fabrikant*(1/doorlooptijd_wal_i)/(aantal_componenten*lambda_fabrikant+1/doorlooptijd_wal_i))*walduur*p_gebruik_wal+(aantal_componenten*lambda_fabrikant)^2/(aantal_componenten*lambda_fabrikant+1/doorlooptijd_wal_i)^2*(1-EXP(-(aantal_componenten*lambda_fabrikant+1/doorlooptijd_wal_i)*walduur*p_gebruik_wal)))/walduur/aantal_componenten,lambda_fabrikant*p_gebruik_wal)),""),"")</f>
        <v/>
      </c>
      <c r="CF30" s="64">
        <f>IF( OR(CO_rep&lt;&gt;"",CO_verv&lt;&gt;""),
IF(OR(lambda_missie_g&lt;&gt;"",lambda_wal_g&lt;&gt;""), "", IF(Perio_int="j",1/8760, IF(Perio_int="m",12/8760, IF(Perio_int="w",52/8760, IF(Perio_int="d",365/8760,"error") ) ) )*Periodiciteit),"")</f>
        <v/>
      </c>
      <c r="CG30" s="66">
        <f>IF(OR(CO_rep&lt;&gt;"",CO_verv&lt;&gt;""),1,"")</f>
        <v/>
      </c>
      <c r="CH30" s="64">
        <f>IF( OR(CO_rep&lt;&gt;"",CO_verv&lt;&gt;""),IF(lambda_fabrikant="",lambda_kalendertijd*missiepercentage*8760/(Missies_per_jaar*Missieduur),""),"")</f>
        <v/>
      </c>
      <c r="CI30" s="64">
        <f>IF( OR(CO_rep&lt;&gt;"",CO_verv&lt;&gt;""),IF(lambda_fabrikant="",lambda_kalendertijd*(1-missiepercentage)*8760/(Missies_per_jaar*walduur),""),"")</f>
        <v/>
      </c>
      <c r="CJ30" s="64">
        <f>IF( OR(CO_rep&lt;&gt;"",CO_verv&lt;&gt;""),
IF(OR(lambda_missie_g&lt;&gt;"",lambda_wal_g&lt;&gt;""), (lambda_missie_g*Missieduur + lambda_wal_g*walduur)/8760*Missies_per_jaar, lambda_kalendertijd),"")</f>
        <v/>
      </c>
      <c r="CK30" s="64">
        <f>IF(lambda&lt;&gt;"",m_schip*lambda,"")</f>
        <v/>
      </c>
      <c r="CL30" s="65">
        <f>IF(OR(CO_rep&lt;&gt;"",CO_verv&lt;&gt;""),IF(Redundantie = "J","?",1),"")</f>
        <v/>
      </c>
      <c r="CM30" s="64">
        <f>IF(lambda&lt;&gt;"",IF(Redundantie="J",IF(lambda_missie_g&lt;&gt;"",lambda_missie_g*redundantie_factor,lambda_missie*redundantie_factor),IF(lambda_missie_g&lt;&gt;"",lambda_missie_g*m_schip,lambda_missie*m_schip)),"")</f>
        <v/>
      </c>
      <c r="CN30" s="64">
        <f>IF(lambda&lt;&gt;"",lambda_functie*Missieduur*Missies_per_jaar/8760,"")</f>
        <v/>
      </c>
      <c r="CO30" s="64">
        <f>IF(lambda&lt;&gt;"",IF(Redundantie="J",IF(lambda_wal_g&lt;&gt;"",lambda_wal_g*redundantie_factor,lambda_wal*redundantie_factor),IF(lambda_wal_g&lt;&gt;"",lambda_wal_g*m_schip,lambda_wal*m_schip)),"")</f>
        <v/>
      </c>
      <c r="CP30" s="64">
        <f>IF(lambda&lt;&gt;"",lambda_functie_wal*walduur*Missies_per_jaar/8760,"")</f>
        <v/>
      </c>
      <c r="CQ30" s="107" t="n"/>
      <c r="CR30" s="115">
        <f>IF(OR(CO_verv&lt;&gt;"",CO_rep&lt;&gt;""),aantal_componenten,"")</f>
        <v/>
      </c>
      <c r="CS30" s="66">
        <f>IF( OR(CO_rep&lt;&gt;"",CO_verv&lt;&gt;""),IF(Aantal_res_boord=0,1,IF(lambda_missie_g&lt;&gt;"",1-POISSON(Aantal_res_boord-1,m_schip*lambda_missie_g*Missieduur,TRUE),1-POISSON(Aantal_res_boord-1,m_schip*lambda_missie*Missieduur,TRUE))),"")</f>
        <v/>
      </c>
      <c r="CT30" s="107" t="n"/>
      <c r="CU30" s="115">
        <f>IF(OR(CO_verv&lt;&gt;"",CO_rep&lt;&gt;""),Aantal_fregatten * m_schip,"")</f>
        <v/>
      </c>
      <c r="CV30" s="65">
        <f>IF(AND(lambda&gt;0,Aantal_ini_wal&gt;=0,Aantal_res_wal&lt;&gt;""),IF(Aantal_ini_wal&gt;Aantal_res_wal,(Aantal_ini_wal-Aantal_res_wal)/(m_vloot*lambda*8760),0),"")</f>
        <v/>
      </c>
      <c r="CW30" s="65">
        <f>IF(AND(lambda&gt;0,Aantal_max_wal&gt;=0,Aantal_res_wal&lt;&gt;""),IF(Aantal_max_wal&gt;Aantal_res_wal,(Aantal_max_wal-Aantal_res_wal)/(m_vloot*lambda*8760),0),"")</f>
        <v/>
      </c>
      <c r="CX30" s="68">
        <f>IF(AND(ini_periode&lt;&gt;"",bestel_interval&lt;&gt;"",besteltijd&lt;&gt;""),IF(ini_periode&gt;=Looptijd,0,
IF(bestel_interval&gt;=(Looptijd-ini_periode),IF(besteltijd&lt;(Looptijd-ini_periode),besteltijd/8760/Looptijd,(Looptijd-ini_periode)/Looptijd),
IF(((Looptijd-ini_periode)-(INT((Looptijd-ini_periode)/(besteltijd/8760+bestel_interval))))&gt;=besteltijd/8760,(1+INT((Looptijd-ini_periode)/(besteltijd/8760+bestel_interval)))*(besteltijd/8760)/Looptijd,(INT((Looptijd-ini_periode)/(besteltijd/8760+bestel_interval))*(besteltijd/8760)+((Looptijd-ini_periode)-(INT((Looptijd-ini_periode)/(besteltijd/8760+bestel_interval)))*(besteltijd/8760+bestel_interval)))/Looptijd))),"")</f>
        <v/>
      </c>
      <c r="CY30" s="66">
        <f>IF( OR(CO_rep&lt;&gt;"",CO_verv&lt;&gt;""),
IF( Aantal_res_wal+(Aantal_fregatten-1)*Aantal_res_boord=0, 1*IF(percentage_looptijd_inbestelling&lt;&gt;"",percentage_looptijd_inbestelling,1),
(1-POISSON(Aantal_res_wal-1+(Aantal_fregatten-1)*Aantal_res_boord, m_vloot*lambda*besteltijd,TRUE))*IF(percentage_looptijd_inbestelling&lt;&gt;"",percentage_looptijd_inbestelling,1)),"")</f>
        <v/>
      </c>
      <c r="CZ30" s="66">
        <f>IF( OR(CO_rep&lt;&gt;"",CO_verv&lt;&gt;""),IF( Aantal_res_wal=0,1, 1-POISSON(Aantal_res_boord+Aantal_res_wal-1, m_vloot*lambda*besteltijd,TRUE) ),"")</f>
        <v/>
      </c>
      <c r="DA30" s="107" t="n"/>
      <c r="DB30" s="115">
        <f>IF(OR(Uitvoeren_missie&lt;&gt;"J",uitvoeren_bedrijf="J",uitvoeren_GO="J"), "",
IF(TAO_revisie&lt;&gt;"", TAO_rev_verv_tijd,
IF(TAO_vervanging&lt;&gt;"", TAO_rev_verv_tijd,
IF(PO_doorlooptijd&lt;&gt;0, PO_doorlooptijd,"" ))))</f>
        <v/>
      </c>
      <c r="DC30" s="107" t="n"/>
      <c r="DD30" s="115">
        <f>IF(AND(CO_rep&lt;&gt;"", Uitvoeren_missie="N"), Missieduur,
IF(AND(CO_rep&lt;&gt;"", Uitvoeren_missie="J"), CO_zoektijd + CO_rep_verv_tijd,""))</f>
        <v/>
      </c>
      <c r="DE30" s="115">
        <f>IF(AND(CO_verv&lt;&gt;"", Uitvoeren_missie="N"), Missieduur,
IF(AND(CO_verv&lt;&gt;"", Uitvoeren_missie="J"), CO_zoektijd + CO_rep_verv_tijd,""))</f>
        <v/>
      </c>
      <c r="DF30" s="115">
        <f>IF(AND(CO_verv&lt;&gt;"", Uitvoeren_missie="N"), Missieduur,
IF(AND(CO_verv&lt;&gt;"", Uitvoeren_missie="J"), wachttijd_invlieg+CO_zoektijd + CO_rep_verv_tijd,""))</f>
        <v/>
      </c>
      <c r="DG30" s="115">
        <f>IF(AND(CO_verv&lt;&gt;"", Uitvoeren_missie="N"), Missieduur,
IF(AND(CO_verv&lt;&gt;"", Uitvoeren_missie="J"), besteltijd + wachttijd_invlieg + CO_zoektijd + CO_rep_verv_tijd,""))</f>
        <v/>
      </c>
      <c r="DH30" s="115">
        <f> IF(AND(doorlooptijd_missie_met&lt;&gt;"",CO_verv&lt;&gt;""), P_op_boord* ( P_op_vloot*doorlooptijd_missie_zonder + (1-P_op_vloot)*doorlooptijd_invlieg ) + (1-P_op_boord)* doorlooptijd_missie_met, "")</f>
        <v/>
      </c>
      <c r="DI30" s="115">
        <f>IF(CO_rep&lt;&gt;"",doorlooptijd_missie_rep,IF(AND(CO_verv&lt;&gt;"",Aantal_res_boord&lt;&gt;"",Aantal_res_boord&lt;&gt;0),doorlooptijd_missie_met,IF(AND(CO_verv&lt;&gt;"",Aantal_max_wal&lt;&gt;"",Aantal_max_wal&lt;&gt;0),doorlooptijd_invlieg,doorlooptijd_missie_zonder)))</f>
        <v/>
      </c>
      <c r="DJ30" s="115">
        <f>IF(doorlooptijd_missie_verv&lt;&gt;"", doorlooptijd_missie_verv, IF(doorlooptijd_missie_rep&lt;&gt;"", doorlooptijd_missie_rep,""))</f>
        <v/>
      </c>
      <c r="DK30" s="107" t="n"/>
      <c r="DL30" s="115">
        <f> IF(CO_rep&lt;&gt;"", CO_zoektijd + CO_rep_verv_tijd,"")</f>
        <v/>
      </c>
      <c r="DM30" s="115">
        <f> IF(AND(CO_verv&lt;&gt;"",CO_rep=""), wachttijd_wal+CO_zoektijd + CO_rep_verv_tijd,"")</f>
        <v/>
      </c>
      <c r="DN30" s="115">
        <f> IF(AND(CO_verv&lt;&gt;"",CO_rep=""), wachttijd_invlieg+CO_zoektijd + CO_rep_verv_tijd,"")</f>
        <v/>
      </c>
      <c r="DO30" s="115">
        <f>IF(AND(CO_verv&lt;&gt;"",CO_rep=""), besteltijd + wachttijd_wal + CO_zoektijd + CO_rep_verv_tijd,"")</f>
        <v/>
      </c>
      <c r="DP30" s="69">
        <f> IF(AND(doorlooptijd_van_wal&lt;&gt;"",CO_verv&lt;&gt;""), P_op_vloot*doorlooptijd_wal_zonder +
(1-P_op_vloot)*(P_op_wal*Doorlooptijd_transport+ (1-P_op_wal)*doorlooptijd_van_wal ), "")</f>
        <v/>
      </c>
      <c r="DQ30" s="115">
        <f>IF(CO_rep&lt;&gt;"",doorlooptijd_wal_rep,IF(AND(CO_verv&lt;&gt;"",AND(Aantal_res_boord&lt;&gt;"",Aantal_res_boord&lt;&gt;0)),doorlooptijd_van_wal,IF(AND(CO_verv&lt;&gt;"",AND(Aantal_max_wal&lt;&gt;"",Aantal_max_wal&lt;&gt;0)),Doorlooptijd_transport,doorlooptijd_wal_zonder)))</f>
        <v/>
      </c>
      <c r="DR30" s="115">
        <f>IF(doorlooptijd_wal_verv&lt;&gt;"", doorlooptijd_wal_verv, IF(doorlooptijd_wal_rep&lt;&gt;"", doorlooptijd_wal_rep,""))</f>
        <v/>
      </c>
      <c r="DS30" s="107" t="n"/>
      <c r="DT30" s="64">
        <f>IF(OR(CO_verv&lt;&gt;"",CO_rep&lt;&gt;""),IF(lambda_functie&lt;&gt;"",ONB_missie_tussenberekening_1 + ONB_missie_tussenberekening_2,""),"")</f>
        <v/>
      </c>
      <c r="DU30" s="64">
        <f>IF(OR(CO_rep&lt;&gt;"",CO_verv&lt;&gt;""),IF(lambda_functie&lt;&gt;"",IF(Uitvoeren_missie="N",1-(1-EXP(-lambda_functie*Missieduur))/(lambda_functie*Missieduur),IF(CO_verv&lt;&gt;"",
(1-P_op_boord)*IF(doorlooptijd_missie_met&lt;&gt;0,lambda_functie/(lambda_functie+(1/doorlooptijd_missie_met))-lambda_functie/((lambda_functie+(1/doorlooptijd_missie_met))^2*Missieduur)*(1-EXP(-(lambda_functie+(1/doorlooptijd_missie_met))*Missieduur)),0)+P_op_boord*((1-P_op_vloot)*IF(doorlooptijd_invlieg&lt;&gt;0,lambda_functie/(lambda_functie+(1 /doorlooptijd_invlieg))-lambda_functie/((lambda_functie+(1/doorlooptijd_invlieg))^2*Missieduur)*(1-EXP(-(lambda_functie+(1/doorlooptijd_invlieg))*Missieduur)),0)+P_op_vloot*IF(doorlooptijd_missie_zonder&lt;&gt;0,lambda_functie/(lambda_functie+(1/doorlooptijd_missie_zonder))-lambda_functie/((lambda_functie+(1/doorlooptijd_missie_zonder))^2*Missieduur)*(1-EXP(-(lambda_functie+(1/doorlooptijd_missie_zonder))*Missieduur)),0)),0)),0),"")</f>
        <v/>
      </c>
      <c r="DV30" s="64">
        <f>IF(OR(CO_rep&lt;&gt;"",CO_verv&lt;&gt;""),IF(lambda_functie&lt;&gt;"",IF(CO_rep&lt;&gt;"",
IF(doorlooptijd_missie_rep&lt;&gt;0,lambda_functie/(lambda_functie+(1/doorlooptijd_missie_rep))-lambda_functie/((lambda_functie+(1/doorlooptijd_missie_rep))^2*Missieduur)*(1-EXP(-(lambda_functie+(1/doorlooptijd_missie_rep))*Missieduur)),0),0)),"")</f>
        <v/>
      </c>
      <c r="DW30" s="66">
        <f>IF(ONB_missie="","",IF(tot_ONB_missie&lt;&gt;0,ONB_missie/tot_ONB_missie,0))</f>
        <v/>
      </c>
      <c r="DX30" s="115">
        <f>IF(Lijst_componenten="","", IF(OR(DT30=0,DT30=""),DX29, IF(DX29="",DT30,1-(1-DT30)*(1-DX29))))</f>
        <v/>
      </c>
      <c r="DY30" s="107" t="n"/>
      <c r="DZ30" s="96">
        <f>IF(OR(CO_rep&lt;&gt;"",CO_verv&lt;&gt;""),IF(uitvoeren_GO="J",ONB_tussenberekening_1,IF(CO_rep&lt;&gt;"",ONB_tussenberekening_2,ONB_tussenberekening_3+ONB_tussenberekening_4+ONB_tussenberekening_5)),"")</f>
        <v/>
      </c>
      <c r="EA30" s="96">
        <f>IF(OR(CO_rep&lt;&gt;"",CO_verv&lt;&gt;""),IF(AND(OR(lambda_functie_kalendertijd&lt;&gt;"",lambda_functie_wal_kalendertijd&lt;&gt;""),uitvoeren_GO="J"),
1-(1-EXP(-(lambda_functie_kalendertijd+lambda_functie_wal_kalendertijd)*interval_groot_onderhoud))
/((lambda_functie_kalendertijd+lambda_functie_wal_kalendertijd)*interval_groot_onderhoud),0),"")</f>
        <v/>
      </c>
      <c r="EB30" s="96">
        <f>IF(OR(CO_rep&lt;&gt;"",CO_verv&lt;&gt;""),IF(AND(CO_rep &lt;&gt;"",OR(doorlooptijd_missie_rep&gt;=walduur,doorlooptijd_wal_rep &gt;= walduur)),IF(doorlooptijd_missie_rep &gt;= walduur,lambda_functie_kalendertijd / (lambda_functie_kalendertijd + 1/doorlooptijd_missie_rep),0)
+ IF(doorlooptijd_wal_rep &gt;= walduur,lambda_functie_wal_kalendertijd / (lambda_functie_wal_kalendertijd + 1/doorlooptijd_wal_rep),0),IF(CO_rep &lt;&gt; "",(1 -EXP(-(lambda_functie_wal_kalendertijd + 1 / doorlooptijd_wal_rep)*walduur))
* lambda_functie_wal_kalendertijd / (lambda_functie_wal_kalendertijd + 1/ doorlooptijd_wal_rep),0)),"")</f>
        <v/>
      </c>
      <c r="EC30" s="96">
        <f>IF(OR(CO_rep&lt;&gt;"",CO_verv&lt;&gt;""),IF(CO_verv&lt;&gt;"",
P_op_boord* ( P_op_vloot*IF(doorlooptijd_missie_zonder&gt;=walduur, lambda_functie_kalendertijd / (lambda_functie_kalendertijd + 1/doorlooptijd_missie_zonder),0)+ (1- P_op_vloot)*IF(doorlooptijd_invlieg&gt;=walduur, lambda_functie_kalendertijd / (lambda_functie_kalendertijd + 1 /doorlooptijd_invlieg),0) )
+ (1- P_op_boord) * IF(doorlooptijd_missie_met&gt;=walduur,lambda_functie_kalendertijd / (lambda_functie_kalendertijd + 1 / doorlooptijd_missie_met),0),0),"")</f>
        <v/>
      </c>
      <c r="ED30" s="96">
        <f>IF(OR(CO_rep&lt;&gt;"",CO_verv&lt;&gt;""),IF(CO_verv &lt;&gt;"",
(1-P_op_vloot)*((1 - P_op_wal)*IF(doorlooptijd_van_wal&gt;=walduur,lambda_functie_wal_kalendertijd/(lambda_functie_wal_kalendertijd+ 1/ doorlooptijd_van_wal),0)
+ P_op_wal*IF(Doorlooptijd_transport&gt;=walduur,lambda_functie_wal_kalendertijd / (lambda_functie_wal_kalendertijd +1/Doorlooptijd_transport),0) )+ P_op_vloot*IF(doorlooptijd_wal_zonder&gt;=walduur, lambda_functie_wal_kalendertijd / (lambda_functie_wal_kalendertijd + 1/ doorlooptijd_wal_zonder),0),0),"")</f>
        <v/>
      </c>
      <c r="EE30" s="96">
        <f>IF(OR(CO_rep&lt;&gt;"",CO_verv&lt;&gt;""),IF(CO_verv &lt;&gt;"",
(1-P_op_vloot)* ( (1- P_op_wal)* (IF(AND(doorlooptijd_van_wal&lt;&gt;0,doorlooptijd_van_wal&lt;walduur),(1 -EXP(-(lambda_functie_wal_kalendertijd + 1 / doorlooptijd_van_wal)*walduur))
* lambda_functie_wal_kalendertijd / (lambda_functie_wal_kalendertijd + 1/ doorlooptijd_van_wal),0))
+ P_op_wal*(IF(AND(Doorlooptijd_transport&lt;&gt;0,Doorlooptijd_transport&lt;walduur),(1 -EXP(-(lambda_functie_wal_kalendertijd + 1 / Doorlooptijd_transport)*walduur))
* lambda_functie_wal_kalendertijd /(lambda_functie_wal_kalendertijd + 1/ Doorlooptijd_transport),0)))
+ P_op_vloot*(IF(AND(doorlooptijd_wal_zonder&lt;&gt;0,doorlooptijd_wal_zonder&lt;walduur),(1 -EXP(-(lambda_functie_wal_kalendertijd + 1 / doorlooptijd_wal_zonder)*walduur))
* lambda_functie_wal_kalendertijd / (lambda_functie_wal_kalendertijd + 1/ doorlooptijd_wal_zonder),0)),0),"")</f>
        <v/>
      </c>
      <c r="EF30" s="66">
        <f>IF(ONB_aanvang="","",IF(tot_ONB_aanvang&lt;&gt;0,ONB_aanvang/tot_ONB_aanvang,0))</f>
        <v/>
      </c>
      <c r="EG30" s="115">
        <f>IF(Lijst_componenten="","", IF(OR(DZ30=0,DZ30=""),EG29, IF(EG29="",DZ30,1-(1-DZ30)*(1-EG29))))</f>
        <v/>
      </c>
      <c r="EH30" s="107" t="n"/>
      <c r="EI30" s="40">
        <f>IF(Invoer!BE50="","",Invoer!BE50)</f>
        <v/>
      </c>
      <c r="EJ30" s="71" t="n"/>
      <c r="EK30" s="120" t="n"/>
      <c r="EL30" s="119" t="n"/>
      <c r="EM30" s="107" t="n"/>
      <c r="EN30" s="72" t="n"/>
      <c r="EO30" s="107" t="n"/>
      <c r="EP30" s="107" t="n"/>
      <c r="EQ30" s="119" t="n"/>
      <c r="ER30" s="120" t="n"/>
      <c r="ES30" s="119" t="n"/>
      <c r="ET30" s="119" t="n"/>
      <c r="EU30" s="115">
        <f>IF(Invoer!AS50="","",Invoer!AS50)</f>
        <v/>
      </c>
      <c r="EV30" s="115">
        <f>IF(Invoer!AT50="","",Invoer!AT50)</f>
        <v/>
      </c>
      <c r="EW30" s="115">
        <f>IF(Invoer!AU50="","",Invoer!AU50)</f>
        <v/>
      </c>
      <c r="EX30" s="115">
        <f>IF(Invoer!AV50="","",Invoer!AV50)</f>
        <v/>
      </c>
      <c r="EY30" s="115">
        <f>IF(Invoer!AW50="","",Invoer!AW50)</f>
        <v/>
      </c>
      <c r="EZ30" s="115">
        <f>IF(Invoer!AX50="","",Invoer!AX50)</f>
        <v/>
      </c>
      <c r="FA30" s="115">
        <f>IF(Invoer!AY50="","",Invoer!AY50)</f>
        <v/>
      </c>
      <c r="FB30" s="115">
        <f>IF(Invoer!AZ50="","",Invoer!AZ50)</f>
        <v/>
      </c>
      <c r="FC30" s="115">
        <f>IF(Invoer!BA50="","",Invoer!BA50)</f>
        <v/>
      </c>
      <c r="FD30" s="115">
        <f>IF(Invoer!BB50="","",Invoer!BB50)</f>
        <v/>
      </c>
      <c r="FE30" s="348" t="n"/>
      <c r="FF30" s="118">
        <f>IF(AND(functie_1&lt;&gt;"",lambda&lt;&gt;""),lambda*m_schip,"")</f>
        <v/>
      </c>
      <c r="FG30" s="118">
        <f>IF(functie_1&lt;&gt;"",lambda_functie,"")</f>
        <v/>
      </c>
      <c r="FH30" s="118">
        <f>IF(functie_1&lt;&gt;"",ONB_missie,"")</f>
        <v/>
      </c>
      <c r="FI30" s="115">
        <f>IF(Lijst_componenten="","", IF(OR(FH30=0,FH30=""),FI29, IF(FI29="",FH30,1-(1-FH30)*(1-FI29))))</f>
        <v/>
      </c>
      <c r="FJ30" s="118">
        <f>IF(functie_1&lt;&gt;"",ONB_aanvang,"")</f>
        <v/>
      </c>
      <c r="FK30" s="115">
        <f>IF(Lijst_componenten="","", IF(OR(FJ30=0,FJ30=""),FK29, IF(FK29="",FJ30,1-(1-FJ30)*(1-FK29))))</f>
        <v/>
      </c>
      <c r="FL30" s="107" t="n"/>
      <c r="FM30" s="118">
        <f>IF(AND(functie_2&lt;&gt;"",lambda&lt;&gt;""),lambda*m_schip,"")</f>
        <v/>
      </c>
      <c r="FN30" s="118">
        <f>IF(functie_2&lt;&gt;"",lambda_functie,"")</f>
        <v/>
      </c>
      <c r="FO30" s="118">
        <f>IF(functie_2&lt;&gt;"",ONB_missie,"")</f>
        <v/>
      </c>
      <c r="FP30" s="115">
        <f>IF(Lijst_componenten="","", IF(OR(FO30=0,FO30=""),FP29, IF(FP29="",FO30,1-(1-FO30)*(1-FP29))))</f>
        <v/>
      </c>
      <c r="FQ30" s="118">
        <f>IF(functie_2&lt;&gt;"",ONB_aanvang,"")</f>
        <v/>
      </c>
      <c r="FR30" s="115">
        <f>IF(Lijst_componenten="","", IF(OR(FQ30=0,FQ30=""),FR29, IF(FR29="",FQ30,1-(1-FQ30)*(1-FR29))))</f>
        <v/>
      </c>
      <c r="FS30" s="107" t="n"/>
      <c r="FT30" s="118">
        <f>IF(AND(functie_3&lt;&gt;"",lambda&lt;&gt;""),lambda*m_schip,"")</f>
        <v/>
      </c>
      <c r="FU30" s="118">
        <f>IF(functie_3&lt;&gt;"",lambda_functie,"")</f>
        <v/>
      </c>
      <c r="FV30" s="118">
        <f>IF(functie_3&lt;&gt;"",ONB_missie,"")</f>
        <v/>
      </c>
      <c r="FW30" s="115">
        <f>IF(Lijst_componenten="","", IF(OR(FV30=0,FV30=""),FW29, IF(FW29="",FV30,1-(1-FV30)*(1-FW29))))</f>
        <v/>
      </c>
      <c r="FX30" s="118">
        <f>IF(functie_3&lt;&gt;"",ONB_aanvang,"")</f>
        <v/>
      </c>
      <c r="FY30" s="115">
        <f>IF(Lijst_componenten="","", IF(OR(FX30=0,FX30=""),FY29, IF(FY29="",FX30,1-(1-FX30)*(1-FY29))))</f>
        <v/>
      </c>
      <c r="FZ30" s="107" t="n"/>
      <c r="GA30" s="118">
        <f>IF(AND(functie_4&lt;&gt;"",lambda&lt;&gt;""),lambda*m_schip,"")</f>
        <v/>
      </c>
      <c r="GB30" s="118">
        <f>IF(functie_4&lt;&gt;"",lambda_functie,"")</f>
        <v/>
      </c>
      <c r="GC30" s="118">
        <f>IF(functie_4&lt;&gt;"",ONB_missie,"")</f>
        <v/>
      </c>
      <c r="GD30" s="115">
        <f>IF(Lijst_componenten="","", IF(OR(GC30=0,GC30=""),GD29, IF(GD29="",GC30,1-(1-GC30)*(1-GD29))))</f>
        <v/>
      </c>
      <c r="GE30" s="118">
        <f>IF(functie_4&lt;&gt;"",ONB_aanvang,"")</f>
        <v/>
      </c>
      <c r="GF30" s="115">
        <f>IF(Lijst_componenten="","", IF(OR(GE30=0,GE30=""),GF29, IF(GF29="",GE30,1-(1-GE30)*(1-GF29))))</f>
        <v/>
      </c>
      <c r="GG30" s="107" t="n"/>
      <c r="GH30" s="118">
        <f>IF(AND(functie_5&lt;&gt;"",lambda&lt;&gt;""),lambda*m_schip,"")</f>
        <v/>
      </c>
      <c r="GI30" s="118">
        <f>IF(functie_5&lt;&gt;"",lambda_functie,"")</f>
        <v/>
      </c>
      <c r="GJ30" s="118">
        <f>IF(functie_5&lt;&gt;"",ONB_missie,"")</f>
        <v/>
      </c>
      <c r="GK30" s="115">
        <f>IF(Lijst_componenten="","", IF(OR(GJ30=0,GJ30=""),GK29, IF(GK29="",GJ30,1-(1-GJ30)*(1-GK29))))</f>
        <v/>
      </c>
      <c r="GL30" s="118">
        <f>IF(functie_5&lt;&gt;"",ONB_aanvang,"")</f>
        <v/>
      </c>
      <c r="GM30" s="115">
        <f>IF(Lijst_componenten="","", IF(OR(GL30=0,GL30=""),GM29, IF(GM29="",GL30,1-(1-GL30)*(1-GM29))))</f>
        <v/>
      </c>
      <c r="GN30" s="107" t="n"/>
      <c r="GO30" s="118">
        <f>IF(AND(functie_6&lt;&gt;"",lambda&lt;&gt;""),lambda*m_schip,"")</f>
        <v/>
      </c>
      <c r="GP30" s="118">
        <f>IF(functie_6&lt;&gt;"",lambda_functie,"")</f>
        <v/>
      </c>
      <c r="GQ30" s="118">
        <f>IF(functie_6&lt;&gt;"",ONB_missie,"")</f>
        <v/>
      </c>
      <c r="GR30" s="115">
        <f>IF(Lijst_componenten="","", IF(OR(GQ30=0,GQ30=""),GR29, IF(GR29="",GQ30,1-(1-GQ30)*(1-GR29))))</f>
        <v/>
      </c>
      <c r="GS30" s="118">
        <f>IF(functie_6&lt;&gt;"",ONB_aanvang,"")</f>
        <v/>
      </c>
      <c r="GT30" s="115">
        <f>IF(Lijst_componenten="","", IF(OR(GS30=0,GS30=""),GT29, IF(GT29="",GS30,1-(1-GS30)*(1-GT29))))</f>
        <v/>
      </c>
      <c r="GU30" s="107" t="n"/>
      <c r="GV30" s="118">
        <f>IF(AND(functie_7&lt;&gt;"",lambda&lt;&gt;""),lambda*m_schip,"")</f>
        <v/>
      </c>
      <c r="GW30" s="118">
        <f>IF(functie_7&lt;&gt;"",lambda_functie,"")</f>
        <v/>
      </c>
      <c r="GX30" s="118">
        <f>IF(functie_7&lt;&gt;"",ONB_missie,"")</f>
        <v/>
      </c>
      <c r="GY30" s="115">
        <f>IF(Lijst_componenten="","", IF(OR(GX30=0,GX30=""),GY29, IF(GY29="",GX30,1-(1-GX30)*(1-GY29))))</f>
        <v/>
      </c>
      <c r="GZ30" s="118">
        <f>IF(functie_7&lt;&gt;"",ONB_aanvang,"")</f>
        <v/>
      </c>
      <c r="HA30" s="115">
        <f>IF(Lijst_componenten="","", IF(OR(GZ30=0,GZ30=""),HA29, IF(HA29="",GZ30,1-(1-GZ30)*(1-HA29))))</f>
        <v/>
      </c>
      <c r="HB30" s="107" t="n"/>
      <c r="HC30" s="118">
        <f>IF(AND(functie_8&lt;&gt;"",lambda&lt;&gt;""),lambda*m_schip,"")</f>
        <v/>
      </c>
      <c r="HD30" s="118">
        <f>IF(functie_8&lt;&gt;"",lambda_functie,"")</f>
        <v/>
      </c>
      <c r="HE30" s="118">
        <f>IF(functie_8&lt;&gt;"",ONB_missie,"")</f>
        <v/>
      </c>
      <c r="HF30" s="115">
        <f>IF(Lijst_componenten="","", IF(OR(HE30=0,HE30=""),HF29, IF(HF29="",HE30,1-(1-HE30)*(1-HF29))))</f>
        <v/>
      </c>
      <c r="HG30" s="118">
        <f>IF(functie_8&lt;&gt;"",ONB_aanvang,"")</f>
        <v/>
      </c>
      <c r="HH30" s="115">
        <f>IF(Lijst_componenten="","", IF(OR(HG30=0,HG30=""),HH29, IF(HH29="",HG30,1-(1-HG30)*(1-HH29))))</f>
        <v/>
      </c>
      <c r="HI30" s="107" t="n"/>
      <c r="HJ30" s="118">
        <f>IF(AND(functie_9&lt;&gt;"",lambda&lt;&gt;""),lambda*m_schip,"")</f>
        <v/>
      </c>
      <c r="HK30" s="118">
        <f>IF(functie_9&lt;&gt;"",lambda_functie,"")</f>
        <v/>
      </c>
      <c r="HL30" s="118">
        <f>IF(functie_9&lt;&gt;"",ONB_missie,"")</f>
        <v/>
      </c>
      <c r="HM30" s="115">
        <f>IF(Lijst_componenten="","", IF(OR(HL30=0,HL30=""),HM29, IF(HM29="",HL30,1-(1-HL30)*(1-HM29))))</f>
        <v/>
      </c>
      <c r="HN30" s="118">
        <f>IF(functie_9&lt;&gt;"",ONB_aanvang,"")</f>
        <v/>
      </c>
      <c r="HO30" s="115">
        <f>IF(Lijst_componenten="","", IF(OR(HN30=0,HN30=""),HO29, IF(HO29="",HN30,1-(1-HN30)*(1-HO29))))</f>
        <v/>
      </c>
      <c r="HP30" s="107" t="n"/>
      <c r="HQ30" s="118">
        <f>IF(AND(functie_10&lt;&gt;"",lambda&lt;&gt;""),lambda*m_schip,"")</f>
        <v/>
      </c>
      <c r="HR30" s="118">
        <f>IF(functie_10&lt;&gt;"",lambda_functie,"")</f>
        <v/>
      </c>
      <c r="HS30" s="118">
        <f>IF(functie_10&lt;&gt;"",ONB_missie,"")</f>
        <v/>
      </c>
      <c r="HT30" s="115">
        <f>IF(Lijst_componenten="","", IF(OR(HS30=0,HS30=""),HT29, IF(HT29="",HS30,1-(1-HS30)*(1-HT29))))</f>
        <v/>
      </c>
      <c r="HU30" s="118">
        <f>IF(functie_10&lt;&gt;"",ONB_aanvang,"")</f>
        <v/>
      </c>
      <c r="HV30" s="115">
        <f>IF(Lijst_componenten="","", IF(OR(HU30=0,HU30=""),HV29, IF(HV29="",HU30,1-(1-HU30)*(1-HV29))))</f>
        <v/>
      </c>
      <c r="HW30" s="353" t="n"/>
      <c r="HX30" s="113" t="n"/>
      <c r="HY30" s="353" t="n"/>
      <c r="HZ30" s="353" t="n"/>
      <c r="IA30" s="353" t="n"/>
      <c r="IB30" s="353" t="n"/>
      <c r="IC30" s="353" t="n"/>
      <c r="ID30" s="353" t="n"/>
      <c r="IE30" s="353" t="n"/>
      <c r="IF30" s="353" t="n"/>
      <c r="IG30" s="353" t="n"/>
      <c r="IH30" s="353" t="n"/>
      <c r="II30" s="353" t="n"/>
      <c r="IJ30" s="353" t="n"/>
      <c r="IK30" s="353" t="n"/>
      <c r="IL30" s="353" t="n"/>
      <c r="IM30" s="353" t="n"/>
      <c r="IN30" s="353" t="n"/>
      <c r="IO30" s="353" t="n"/>
      <c r="IP30" s="353" t="n"/>
      <c r="IQ30" s="353" t="n"/>
      <c r="IR30" s="353" t="n"/>
      <c r="IS30" s="353" t="n"/>
      <c r="IT30" s="353" t="n"/>
      <c r="IU30" s="353" t="n"/>
      <c r="IV30" s="353" t="n"/>
    </row>
    <row r="31" ht="12" customFormat="1" customHeight="1" s="353">
      <c r="A31" s="99" t="n">
        <v>14</v>
      </c>
      <c r="B31" s="649">
        <f>N(Invoer!B51)</f>
        <v/>
      </c>
      <c r="C31" s="649">
        <f>N(Invoer!C51)</f>
        <v/>
      </c>
      <c r="D31" s="649">
        <f>N(Invoer!D51)</f>
        <v/>
      </c>
      <c r="E31" s="649">
        <f>N(Invoer!E51)</f>
        <v/>
      </c>
      <c r="F31" s="649">
        <f>N(Invoer!F51)</f>
        <v/>
      </c>
      <c r="G31" s="649">
        <f>N(Invoer!G51)</f>
        <v/>
      </c>
      <c r="H31" s="649">
        <f>N(Invoer!H51)</f>
        <v/>
      </c>
      <c r="I31" s="649">
        <f>N(Invoer!I51)</f>
        <v/>
      </c>
      <c r="J31" s="649">
        <f>N(Invoer!J51)</f>
        <v/>
      </c>
      <c r="K31" s="649">
        <f>N(Invoer!K51)</f>
        <v/>
      </c>
      <c r="L31" s="58">
        <f>IF(Invoer!L51="","",Invoer!L51)</f>
        <v/>
      </c>
      <c r="M31" s="650">
        <f>N(Invoer!M51)</f>
        <v/>
      </c>
      <c r="N31" s="58">
        <f>IF(Invoer!N51="","",Invoer!N51)</f>
        <v/>
      </c>
      <c r="O31" s="119" t="n"/>
      <c r="P31" s="96">
        <f>IF(Invoer!BK51="","",Invoer!BK51)</f>
        <v/>
      </c>
      <c r="Q31" s="96">
        <f>IF(Invoer!BL51="","",Invoer!BL51)</f>
        <v/>
      </c>
      <c r="R31" s="96">
        <f>IF(Invoer!BM51="","",Invoer!BM51)</f>
        <v/>
      </c>
      <c r="S31" s="96">
        <f>IF(Invoer!BN51="","",Invoer!BN51)</f>
        <v/>
      </c>
      <c r="T31" s="96">
        <f>IF(Invoer!BO51="","",Invoer!BO51)</f>
        <v/>
      </c>
      <c r="U31" s="96">
        <f>IF(Invoer!BP51="","",Invoer!BP51)</f>
        <v/>
      </c>
      <c r="V31" s="60" t="n"/>
      <c r="W31" s="115">
        <f>IF(Invoer!BQ51="","",Invoer!BQ51)</f>
        <v/>
      </c>
      <c r="X31" s="115">
        <f>IF(Invoer!BR51="","",Invoer!BR51)</f>
        <v/>
      </c>
      <c r="Y31" s="60" t="n"/>
      <c r="Z31" s="115">
        <f>IF(Invoer!BS51="","",Invoer!BS51)</f>
        <v/>
      </c>
      <c r="AA31" s="115">
        <f>IF(Invoer!BT51="","",Invoer!BT51)</f>
        <v/>
      </c>
      <c r="AB31" s="115">
        <f>IF(Invoer!P51="","",Invoer!P51)</f>
        <v/>
      </c>
      <c r="AC31" s="60" t="n"/>
      <c r="AD31" s="34">
        <f>IF(Invoer!Q51="","",Invoer!Q51)</f>
        <v/>
      </c>
      <c r="AE31" s="110" t="n"/>
      <c r="AF31" s="96">
        <f>IF(Invoer!R51="","",Invoer!R51)</f>
        <v/>
      </c>
      <c r="AG31" s="107" t="n"/>
      <c r="AH31" s="107" t="n"/>
      <c r="AI31" s="658">
        <f>IF(N(Invoer!S51)=0,"",Invoer!S51)</f>
        <v/>
      </c>
      <c r="AJ31" s="659">
        <f>IF(Invoer!T51="","",Invoer!T51)</f>
        <v/>
      </c>
      <c r="AK31" s="365" t="n"/>
      <c r="AL31" s="659">
        <f>IF(Invoer!U51="","",Invoer!U51)</f>
        <v/>
      </c>
      <c r="AM31" s="659">
        <f>IF(Invoer!V51="","",Invoer!V51)</f>
        <v/>
      </c>
      <c r="AN31" s="659">
        <f>IF(Invoer!W51="","",Invoer!W51)</f>
        <v/>
      </c>
      <c r="AO31" s="368" t="n"/>
      <c r="AP31" s="660">
        <f>N(Invoer!X51)</f>
        <v/>
      </c>
      <c r="AQ31" s="660">
        <f>N(Invoer!Y51)</f>
        <v/>
      </c>
      <c r="AR31" s="660">
        <f>N(Invoer!Z51)</f>
        <v/>
      </c>
      <c r="AS31" s="660">
        <f>N(Invoer!AA51)</f>
        <v/>
      </c>
      <c r="AT31" s="660">
        <f>N(Invoer!AB51)</f>
        <v/>
      </c>
      <c r="AU31" s="660">
        <f>N(Invoer!AC51)</f>
        <v/>
      </c>
      <c r="AV31" s="368" t="n"/>
      <c r="AW31" s="661">
        <f>N(Invoer!AD51)</f>
        <v/>
      </c>
      <c r="AX31" s="368" t="n"/>
      <c r="AY31" s="541">
        <f>IF(Periodiciteit&lt;&gt;"",(uurtarief_wd*(IF(ISNUMBER(tijd_wd),tijd_wd,0))+uurtarief_td*(IF(ISNUMBER(tijd_td),tijd_td,0))+uurtarief_sb*(IF(ISNUMBER(tijd_sb),tijd_sb,0))+uurtarief_rw*(IF(ISNUMBER(tijd_rw),tijd_rw,0))+uurtarief_d*(IF(ISNUMBER(tijd_d),tijd_d,0))+uurtarief_3*(IF(ISNUMBER(tijd_3),tijd_3,0)) +(IF(ISNUMBER(f_vast),f_vast,0)))*(IF(Perio_int="j",1,IF(Perio_int="m",12,IF(Perio_int="w",52,IF(Perio_int="d",365,0)))))*Periodiciteit*aantal_componenten,"")</f>
        <v/>
      </c>
      <c r="AZ31" s="368" t="n"/>
      <c r="BA31" s="542">
        <f>IF(N(Invoer!AE51)=0,"",Invoer!AE51)</f>
        <v/>
      </c>
      <c r="BB31" s="368" t="n"/>
      <c r="BC31" s="542">
        <f>IF(AND(Periodiciteit&lt;&gt;"",Kosten_res_pk&lt;&gt;""), Kosten_res_pk*(IF(Perio_int="j",1,IF(Perio_int="m",12,IF(Perio_int="w",52,IF(Perio_int="d",365,0)))))*Periodiciteit*aantal_componenten,"")</f>
        <v/>
      </c>
      <c r="BD31" s="368" t="n"/>
      <c r="BE31" s="370" t="n"/>
      <c r="BF31" s="368" t="n"/>
      <c r="BG31" s="542">
        <f>IF(Kosten_res_trade &lt;&gt;"", Kosten_res_trade, Kosten_res_jaar )</f>
        <v/>
      </c>
      <c r="BH31" s="368" t="n"/>
      <c r="BI31" s="543">
        <f>IF(N(Invoer!AF51)=0,"",Invoer!AF51)</f>
        <v/>
      </c>
      <c r="BJ31" s="368" t="n"/>
      <c r="BK31" s="543">
        <f>IF(AND(Periodiciteit&lt;&gt;"",Gevolgkosten&lt;&gt;""), Gevolgkosten*(IF(Perio_int="j",1,IF(Perio_int="m",12,IF(Perio_int="w",52,IF(Perio_int="d",365,0)))))*Periodiciteit*aantal_componenten,"")</f>
        <v/>
      </c>
      <c r="BL31" s="368" t="n"/>
      <c r="BM31" s="660">
        <f>N(Invoer!AJ51)</f>
        <v/>
      </c>
      <c r="BN31" s="662">
        <f>N(Invoer!AK51)</f>
        <v/>
      </c>
      <c r="BO31" s="662">
        <f>N(Invoer!AL51)</f>
        <v/>
      </c>
      <c r="BP31" s="662">
        <f>N(Invoer!AM51)</f>
        <v/>
      </c>
      <c r="BQ31" s="368" t="n"/>
      <c r="BR31" s="662">
        <f>N(Invoer!AN51)</f>
        <v/>
      </c>
      <c r="BS31" s="543">
        <f>IF(N(Invoer!AO51)=0,"",Invoer!AO51)</f>
        <v/>
      </c>
      <c r="BT31" s="662">
        <f>N(Invoer!AP51)</f>
        <v/>
      </c>
      <c r="BU31" s="368" t="n"/>
      <c r="BV31" s="662">
        <f>N(Invoer!AQ51)</f>
        <v/>
      </c>
      <c r="BW31" s="663">
        <f>N(Invoer!AR51)</f>
        <v/>
      </c>
      <c r="BX31" s="480" t="n"/>
      <c r="BY31" s="477" t="n"/>
      <c r="BZ31" s="107" t="n"/>
      <c r="CA31" s="64">
        <f>IF(N(Invoer!AG51)=0,"",Invoer!AG51)</f>
        <v/>
      </c>
      <c r="CB31" s="657">
        <f>N(Invoer!AH51)</f>
        <v/>
      </c>
      <c r="CC31" s="657">
        <f>N(Invoer!AI51)</f>
        <v/>
      </c>
      <c r="CD31" s="64">
        <f>IF( OR(CO_rep&lt;&gt;"",CO_verv&lt;&gt;""),IF(lambda_fabrikant&lt;&gt;"",IF(Uitvoeren_missie="N", (1-EXP(-aantal_componenten*lambda_fabrikant*Missieduur*p_gebruik_missie))/Missieduur/aantal_componenten,
IF(doorlooptijd_missie_i &lt;&gt; 0,((aantal_componenten*lambda_fabrikant*(1/doorlooptijd_missie_i)/(aantal_componenten*lambda_fabrikant+1/doorlooptijd_missie_i))*Missieduur*p_gebruik_missie+(aantal_componenten*lambda_fabrikant)^2/(aantal_componenten*lambda_fabrikant+1/doorlooptijd_missie_i)^2*(1-EXP(-(aantal_componenten*lambda_fabrikant+1/doorlooptijd_missie_i)*Missieduur*p_gebruik_missie)))/Missieduur/aantal_componenten,lambda_fabrikant*p_gebruik_missie)),""),"")</f>
        <v/>
      </c>
      <c r="CE31" s="64">
        <f>IF( OR(CO_rep&lt;&gt;"",CO_verv&lt;&gt;""),IF(lambda_fabrikant&lt;&gt;"",IF(uitvoeren_GO = "J", (1-EXP(-(aantal_componenten*lambda_fabrikant*p_gebruik_wal* interval_groot_onderhoud/8760*Missies_per_jaar*walduur)))/ (interval_groot_onderhoud/8760*Missies_per_jaar*walduur) / aantal_componenten,IF(doorlooptijd_wal_i &lt;&gt; 0,((aantal_componenten*lambda_fabrikant*(1/doorlooptijd_wal_i)/(aantal_componenten*lambda_fabrikant+1/doorlooptijd_wal_i))*walduur*p_gebruik_wal+(aantal_componenten*lambda_fabrikant)^2/(aantal_componenten*lambda_fabrikant+1/doorlooptijd_wal_i)^2*(1-EXP(-(aantal_componenten*lambda_fabrikant+1/doorlooptijd_wal_i)*walduur*p_gebruik_wal)))/walduur/aantal_componenten,lambda_fabrikant*p_gebruik_wal)),""),"")</f>
        <v/>
      </c>
      <c r="CF31" s="64">
        <f>IF( OR(CO_rep&lt;&gt;"",CO_verv&lt;&gt;""),
IF(OR(lambda_missie_g&lt;&gt;"",lambda_wal_g&lt;&gt;""), "", IF(Perio_int="j",1/8760, IF(Perio_int="m",12/8760, IF(Perio_int="w",52/8760, IF(Perio_int="d",365/8760,"error") ) ) )*Periodiciteit),"")</f>
        <v/>
      </c>
      <c r="CG31" s="66">
        <f>IF(OR(CO_rep&lt;&gt;"",CO_verv&lt;&gt;""),1,"")</f>
        <v/>
      </c>
      <c r="CH31" s="64">
        <f>IF( OR(CO_rep&lt;&gt;"",CO_verv&lt;&gt;""),IF(lambda_fabrikant="",lambda_kalendertijd*missiepercentage*8760/(Missies_per_jaar*Missieduur),""),"")</f>
        <v/>
      </c>
      <c r="CI31" s="64">
        <f>IF( OR(CO_rep&lt;&gt;"",CO_verv&lt;&gt;""),IF(lambda_fabrikant="",lambda_kalendertijd*(1-missiepercentage)*8760/(Missies_per_jaar*walduur),""),"")</f>
        <v/>
      </c>
      <c r="CJ31" s="64">
        <f>IF( OR(CO_rep&lt;&gt;"",CO_verv&lt;&gt;""),
IF(OR(lambda_missie_g&lt;&gt;"",lambda_wal_g&lt;&gt;""), (lambda_missie_g*Missieduur + lambda_wal_g*walduur)/8760*Missies_per_jaar, lambda_kalendertijd),"")</f>
        <v/>
      </c>
      <c r="CK31" s="64">
        <f>IF(lambda&lt;&gt;"",m_schip*lambda,"")</f>
        <v/>
      </c>
      <c r="CL31" s="65">
        <f>IF(OR(CO_rep&lt;&gt;"",CO_verv&lt;&gt;""),IF(Redundantie = "J","?",1),"")</f>
        <v/>
      </c>
      <c r="CM31" s="64">
        <f>IF(lambda&lt;&gt;"",IF(Redundantie="J",IF(lambda_missie_g&lt;&gt;"",lambda_missie_g*redundantie_factor,lambda_missie*redundantie_factor),IF(lambda_missie_g&lt;&gt;"",lambda_missie_g*m_schip,lambda_missie*m_schip)),"")</f>
        <v/>
      </c>
      <c r="CN31" s="64">
        <f>IF(lambda&lt;&gt;"",lambda_functie*Missieduur*Missies_per_jaar/8760,"")</f>
        <v/>
      </c>
      <c r="CO31" s="64">
        <f>IF(lambda&lt;&gt;"",IF(Redundantie="J",IF(lambda_wal_g&lt;&gt;"",lambda_wal_g*redundantie_factor,lambda_wal*redundantie_factor),IF(lambda_wal_g&lt;&gt;"",lambda_wal_g*m_schip,lambda_wal*m_schip)),"")</f>
        <v/>
      </c>
      <c r="CP31" s="64">
        <f>IF(lambda&lt;&gt;"",lambda_functie_wal*walduur*Missies_per_jaar/8760,"")</f>
        <v/>
      </c>
      <c r="CQ31" s="107" t="n"/>
      <c r="CR31" s="115">
        <f>IF(OR(CO_verv&lt;&gt;"",CO_rep&lt;&gt;""),aantal_componenten,"")</f>
        <v/>
      </c>
      <c r="CS31" s="66">
        <f>IF( OR(CO_rep&lt;&gt;"",CO_verv&lt;&gt;""),IF(Aantal_res_boord=0,1,IF(lambda_missie_g&lt;&gt;"",1-POISSON(Aantal_res_boord-1,m_schip*lambda_missie_g*Missieduur,TRUE),1-POISSON(Aantal_res_boord-1,m_schip*lambda_missie*Missieduur,TRUE))),"")</f>
        <v/>
      </c>
      <c r="CT31" s="107" t="n"/>
      <c r="CU31" s="115">
        <f>IF(OR(CO_verv&lt;&gt;"",CO_rep&lt;&gt;""),Aantal_fregatten * m_schip,"")</f>
        <v/>
      </c>
      <c r="CV31" s="65">
        <f>IF(AND(lambda&gt;0,Aantal_ini_wal&gt;=0,Aantal_res_wal&lt;&gt;""),IF(Aantal_ini_wal&gt;Aantal_res_wal,(Aantal_ini_wal-Aantal_res_wal)/(m_vloot*lambda*8760),0),"")</f>
        <v/>
      </c>
      <c r="CW31" s="65">
        <f>IF(AND(lambda&gt;0,Aantal_max_wal&gt;=0,Aantal_res_wal&lt;&gt;""),IF(Aantal_max_wal&gt;Aantal_res_wal,(Aantal_max_wal-Aantal_res_wal)/(m_vloot*lambda*8760),0),"")</f>
        <v/>
      </c>
      <c r="CX31" s="68">
        <f>IF(AND(ini_periode&lt;&gt;"",bestel_interval&lt;&gt;"",besteltijd&lt;&gt;""),IF(ini_periode&gt;=Looptijd,0,
IF(bestel_interval&gt;=(Looptijd-ini_periode),IF(besteltijd&lt;(Looptijd-ini_periode),besteltijd/8760/Looptijd,(Looptijd-ini_periode)/Looptijd),
IF(((Looptijd-ini_periode)-(INT((Looptijd-ini_periode)/(besteltijd/8760+bestel_interval))))&gt;=besteltijd/8760,(1+INT((Looptijd-ini_periode)/(besteltijd/8760+bestel_interval)))*(besteltijd/8760)/Looptijd,(INT((Looptijd-ini_periode)/(besteltijd/8760+bestel_interval))*(besteltijd/8760)+((Looptijd-ini_periode)-(INT((Looptijd-ini_periode)/(besteltijd/8760+bestel_interval)))*(besteltijd/8760+bestel_interval)))/Looptijd))),"")</f>
        <v/>
      </c>
      <c r="CY31" s="66">
        <f>IF( OR(CO_rep&lt;&gt;"",CO_verv&lt;&gt;""),
IF( Aantal_res_wal+(Aantal_fregatten-1)*Aantal_res_boord=0, 1*IF(percentage_looptijd_inbestelling&lt;&gt;"",percentage_looptijd_inbestelling,1),
(1-POISSON(Aantal_res_wal-1+(Aantal_fregatten-1)*Aantal_res_boord, m_vloot*lambda*besteltijd,TRUE))*IF(percentage_looptijd_inbestelling&lt;&gt;"",percentage_looptijd_inbestelling,1)),"")</f>
        <v/>
      </c>
      <c r="CZ31" s="66">
        <f>IF( OR(CO_rep&lt;&gt;"",CO_verv&lt;&gt;""),IF( Aantal_res_wal=0,1, 1-POISSON(Aantal_res_boord+Aantal_res_wal-1, m_vloot*lambda*besteltijd,TRUE) ),"")</f>
        <v/>
      </c>
      <c r="DA31" s="107" t="n"/>
      <c r="DB31" s="115">
        <f>IF(OR(Uitvoeren_missie&lt;&gt;"J",uitvoeren_bedrijf="J",uitvoeren_GO="J"), "",
IF(TAO_revisie&lt;&gt;"", TAO_rev_verv_tijd,
IF(TAO_vervanging&lt;&gt;"", TAO_rev_verv_tijd,
IF(PO_doorlooptijd&lt;&gt;0, PO_doorlooptijd,"" ))))</f>
        <v/>
      </c>
      <c r="DC31" s="107" t="n"/>
      <c r="DD31" s="115">
        <f>IF(AND(CO_rep&lt;&gt;"", Uitvoeren_missie="N"), Missieduur,
IF(AND(CO_rep&lt;&gt;"", Uitvoeren_missie="J"), CO_zoektijd + CO_rep_verv_tijd,""))</f>
        <v/>
      </c>
      <c r="DE31" s="115">
        <f>IF(AND(CO_verv&lt;&gt;"", Uitvoeren_missie="N"), Missieduur,
IF(AND(CO_verv&lt;&gt;"", Uitvoeren_missie="J"), CO_zoektijd + CO_rep_verv_tijd,""))</f>
        <v/>
      </c>
      <c r="DF31" s="115">
        <f>IF(AND(CO_verv&lt;&gt;"", Uitvoeren_missie="N"), Missieduur,
IF(AND(CO_verv&lt;&gt;"", Uitvoeren_missie="J"), wachttijd_invlieg+CO_zoektijd + CO_rep_verv_tijd,""))</f>
        <v/>
      </c>
      <c r="DG31" s="115">
        <f>IF(AND(CO_verv&lt;&gt;"", Uitvoeren_missie="N"), Missieduur,
IF(AND(CO_verv&lt;&gt;"", Uitvoeren_missie="J"), besteltijd + wachttijd_invlieg + CO_zoektijd + CO_rep_verv_tijd,""))</f>
        <v/>
      </c>
      <c r="DH31" s="115">
        <f> IF(AND(doorlooptijd_missie_met&lt;&gt;"",CO_verv&lt;&gt;""), P_op_boord* ( P_op_vloot*doorlooptijd_missie_zonder + (1-P_op_vloot)*doorlooptijd_invlieg ) + (1-P_op_boord)* doorlooptijd_missie_met, "")</f>
        <v/>
      </c>
      <c r="DI31" s="115">
        <f>IF(CO_rep&lt;&gt;"",doorlooptijd_missie_rep,IF(AND(CO_verv&lt;&gt;"",Aantal_res_boord&lt;&gt;"",Aantal_res_boord&lt;&gt;0),doorlooptijd_missie_met,IF(AND(CO_verv&lt;&gt;"",Aantal_max_wal&lt;&gt;"",Aantal_max_wal&lt;&gt;0),doorlooptijd_invlieg,doorlooptijd_missie_zonder)))</f>
        <v/>
      </c>
      <c r="DJ31" s="115">
        <f>IF(doorlooptijd_missie_verv&lt;&gt;"", doorlooptijd_missie_verv, IF(doorlooptijd_missie_rep&lt;&gt;"", doorlooptijd_missie_rep,""))</f>
        <v/>
      </c>
      <c r="DK31" s="107" t="n"/>
      <c r="DL31" s="115">
        <f> IF(CO_rep&lt;&gt;"", CO_zoektijd + CO_rep_verv_tijd,"")</f>
        <v/>
      </c>
      <c r="DM31" s="115">
        <f> IF(AND(CO_verv&lt;&gt;"",CO_rep=""), wachttijd_wal+CO_zoektijd + CO_rep_verv_tijd,"")</f>
        <v/>
      </c>
      <c r="DN31" s="115">
        <f> IF(AND(CO_verv&lt;&gt;"",CO_rep=""), wachttijd_invlieg+CO_zoektijd + CO_rep_verv_tijd,"")</f>
        <v/>
      </c>
      <c r="DO31" s="115">
        <f>IF(AND(CO_verv&lt;&gt;"",CO_rep=""), besteltijd + wachttijd_wal + CO_zoektijd + CO_rep_verv_tijd,"")</f>
        <v/>
      </c>
      <c r="DP31" s="69">
        <f> IF(AND(doorlooptijd_van_wal&lt;&gt;"",CO_verv&lt;&gt;""), P_op_vloot*doorlooptijd_wal_zonder +
(1-P_op_vloot)*(P_op_wal*Doorlooptijd_transport+ (1-P_op_wal)*doorlooptijd_van_wal ), "")</f>
        <v/>
      </c>
      <c r="DQ31" s="115">
        <f>IF(CO_rep&lt;&gt;"",doorlooptijd_wal_rep,IF(AND(CO_verv&lt;&gt;"",AND(Aantal_res_boord&lt;&gt;"",Aantal_res_boord&lt;&gt;0)),doorlooptijd_van_wal,IF(AND(CO_verv&lt;&gt;"",AND(Aantal_max_wal&lt;&gt;"",Aantal_max_wal&lt;&gt;0)),Doorlooptijd_transport,doorlooptijd_wal_zonder)))</f>
        <v/>
      </c>
      <c r="DR31" s="115">
        <f>IF(doorlooptijd_wal_verv&lt;&gt;"", doorlooptijd_wal_verv, IF(doorlooptijd_wal_rep&lt;&gt;"", doorlooptijd_wal_rep,""))</f>
        <v/>
      </c>
      <c r="DS31" s="107" t="n"/>
      <c r="DT31" s="64">
        <f>IF(OR(CO_verv&lt;&gt;"",CO_rep&lt;&gt;""),IF(lambda_functie&lt;&gt;"",ONB_missie_tussenberekening_1 + ONB_missie_tussenberekening_2,""),"")</f>
        <v/>
      </c>
      <c r="DU31" s="64">
        <f>IF(OR(CO_rep&lt;&gt;"",CO_verv&lt;&gt;""),IF(lambda_functie&lt;&gt;"",IF(Uitvoeren_missie="N",1-(1-EXP(-lambda_functie*Missieduur))/(lambda_functie*Missieduur),IF(CO_verv&lt;&gt;"",
(1-P_op_boord)*IF(doorlooptijd_missie_met&lt;&gt;0,lambda_functie/(lambda_functie+(1/doorlooptijd_missie_met))-lambda_functie/((lambda_functie+(1/doorlooptijd_missie_met))^2*Missieduur)*(1-EXP(-(lambda_functie+(1/doorlooptijd_missie_met))*Missieduur)),0)+P_op_boord*((1-P_op_vloot)*IF(doorlooptijd_invlieg&lt;&gt;0,lambda_functie/(lambda_functie+(1 /doorlooptijd_invlieg))-lambda_functie/((lambda_functie+(1/doorlooptijd_invlieg))^2*Missieduur)*(1-EXP(-(lambda_functie+(1/doorlooptijd_invlieg))*Missieduur)),0)+P_op_vloot*IF(doorlooptijd_missie_zonder&lt;&gt;0,lambda_functie/(lambda_functie+(1/doorlooptijd_missie_zonder))-lambda_functie/((lambda_functie+(1/doorlooptijd_missie_zonder))^2*Missieduur)*(1-EXP(-(lambda_functie+(1/doorlooptijd_missie_zonder))*Missieduur)),0)),0)),0),"")</f>
        <v/>
      </c>
      <c r="DV31" s="64">
        <f>IF(OR(CO_rep&lt;&gt;"",CO_verv&lt;&gt;""),IF(lambda_functie&lt;&gt;"",IF(CO_rep&lt;&gt;"",
IF(doorlooptijd_missie_rep&lt;&gt;0,lambda_functie/(lambda_functie+(1/doorlooptijd_missie_rep))-lambda_functie/((lambda_functie+(1/doorlooptijd_missie_rep))^2*Missieduur)*(1-EXP(-(lambda_functie+(1/doorlooptijd_missie_rep))*Missieduur)),0),0)),"")</f>
        <v/>
      </c>
      <c r="DW31" s="66">
        <f>IF(ONB_missie="","",IF(tot_ONB_missie&lt;&gt;0,ONB_missie/tot_ONB_missie,0))</f>
        <v/>
      </c>
      <c r="DX31" s="115">
        <f>IF(Lijst_componenten="","", IF(OR(DT31=0,DT31=""),DX30, IF(DX30="",DT31,1-(1-DT31)*(1-DX30))))</f>
        <v/>
      </c>
      <c r="DY31" s="107" t="n"/>
      <c r="DZ31" s="96">
        <f>IF(OR(CO_rep&lt;&gt;"",CO_verv&lt;&gt;""),IF(uitvoeren_GO="J",ONB_tussenberekening_1,IF(CO_rep&lt;&gt;"",ONB_tussenberekening_2,ONB_tussenberekening_3+ONB_tussenberekening_4+ONB_tussenberekening_5)),"")</f>
        <v/>
      </c>
      <c r="EA31" s="96">
        <f>IF(OR(CO_rep&lt;&gt;"",CO_verv&lt;&gt;""),IF(AND(OR(lambda_functie_kalendertijd&lt;&gt;"",lambda_functie_wal_kalendertijd&lt;&gt;""),uitvoeren_GO="J"),
1-(1-EXP(-(lambda_functie_kalendertijd+lambda_functie_wal_kalendertijd)*interval_groot_onderhoud))
/((lambda_functie_kalendertijd+lambda_functie_wal_kalendertijd)*interval_groot_onderhoud),0),"")</f>
        <v/>
      </c>
      <c r="EB31" s="96">
        <f>IF(OR(CO_rep&lt;&gt;"",CO_verv&lt;&gt;""),IF(AND(CO_rep &lt;&gt;"",OR(doorlooptijd_missie_rep&gt;=walduur,doorlooptijd_wal_rep &gt;= walduur)),IF(doorlooptijd_missie_rep &gt;= walduur,lambda_functie_kalendertijd / (lambda_functie_kalendertijd + 1/doorlooptijd_missie_rep),0)
+ IF(doorlooptijd_wal_rep &gt;= walduur,lambda_functie_wal_kalendertijd / (lambda_functie_wal_kalendertijd + 1/doorlooptijd_wal_rep),0),IF(CO_rep &lt;&gt; "",(1 -EXP(-(lambda_functie_wal_kalendertijd + 1 / doorlooptijd_wal_rep)*walduur))
* lambda_functie_wal_kalendertijd / (lambda_functie_wal_kalendertijd + 1/ doorlooptijd_wal_rep),0)),"")</f>
        <v/>
      </c>
      <c r="EC31" s="96">
        <f>IF(OR(CO_rep&lt;&gt;"",CO_verv&lt;&gt;""),IF(CO_verv&lt;&gt;"",
P_op_boord* ( P_op_vloot*IF(doorlooptijd_missie_zonder&gt;=walduur, lambda_functie_kalendertijd / (lambda_functie_kalendertijd + 1/doorlooptijd_missie_zonder),0)+ (1- P_op_vloot)*IF(doorlooptijd_invlieg&gt;=walduur, lambda_functie_kalendertijd / (lambda_functie_kalendertijd + 1 /doorlooptijd_invlieg),0) )
+ (1- P_op_boord) * IF(doorlooptijd_missie_met&gt;=walduur,lambda_functie_kalendertijd / (lambda_functie_kalendertijd + 1 / doorlooptijd_missie_met),0),0),"")</f>
        <v/>
      </c>
      <c r="ED31" s="96">
        <f>IF(OR(CO_rep&lt;&gt;"",CO_verv&lt;&gt;""),IF(CO_verv &lt;&gt;"",
(1-P_op_vloot)*((1 - P_op_wal)*IF(doorlooptijd_van_wal&gt;=walduur,lambda_functie_wal_kalendertijd/(lambda_functie_wal_kalendertijd+ 1/ doorlooptijd_van_wal),0)
+ P_op_wal*IF(Doorlooptijd_transport&gt;=walduur,lambda_functie_wal_kalendertijd / (lambda_functie_wal_kalendertijd +1/Doorlooptijd_transport),0) )+ P_op_vloot*IF(doorlooptijd_wal_zonder&gt;=walduur, lambda_functie_wal_kalendertijd / (lambda_functie_wal_kalendertijd + 1/ doorlooptijd_wal_zonder),0),0),"")</f>
        <v/>
      </c>
      <c r="EE31" s="96">
        <f>IF(OR(CO_rep&lt;&gt;"",CO_verv&lt;&gt;""),IF(CO_verv &lt;&gt;"",
(1-P_op_vloot)* ( (1- P_op_wal)* (IF(AND(doorlooptijd_van_wal&lt;&gt;0,doorlooptijd_van_wal&lt;walduur),(1 -EXP(-(lambda_functie_wal_kalendertijd + 1 / doorlooptijd_van_wal)*walduur))
* lambda_functie_wal_kalendertijd / (lambda_functie_wal_kalendertijd + 1/ doorlooptijd_van_wal),0))
+ P_op_wal*(IF(AND(Doorlooptijd_transport&lt;&gt;0,Doorlooptijd_transport&lt;walduur),(1 -EXP(-(lambda_functie_wal_kalendertijd + 1 / Doorlooptijd_transport)*walduur))
* lambda_functie_wal_kalendertijd /(lambda_functie_wal_kalendertijd + 1/ Doorlooptijd_transport),0)))
+ P_op_vloot*(IF(AND(doorlooptijd_wal_zonder&lt;&gt;0,doorlooptijd_wal_zonder&lt;walduur),(1 -EXP(-(lambda_functie_wal_kalendertijd + 1 / doorlooptijd_wal_zonder)*walduur))
* lambda_functie_wal_kalendertijd / (lambda_functie_wal_kalendertijd + 1/ doorlooptijd_wal_zonder),0)),0),"")</f>
        <v/>
      </c>
      <c r="EF31" s="66">
        <f>IF(ONB_aanvang="","",IF(tot_ONB_aanvang&lt;&gt;0,ONB_aanvang/tot_ONB_aanvang,0))</f>
        <v/>
      </c>
      <c r="EG31" s="115">
        <f>IF(Lijst_componenten="","", IF(OR(DZ31=0,DZ31=""),EG30, IF(EG30="",DZ31,1-(1-DZ31)*(1-EG30))))</f>
        <v/>
      </c>
      <c r="EH31" s="107" t="n"/>
      <c r="EI31" s="40">
        <f>IF(Invoer!BE51="","",Invoer!BE51)</f>
        <v/>
      </c>
      <c r="EJ31" s="71" t="n"/>
      <c r="EK31" s="120" t="n"/>
      <c r="EL31" s="119" t="n"/>
      <c r="EM31" s="107" t="n"/>
      <c r="EN31" s="72" t="n"/>
      <c r="EO31" s="107" t="n"/>
      <c r="EP31" s="107" t="n"/>
      <c r="EQ31" s="119" t="n"/>
      <c r="ER31" s="120" t="n"/>
      <c r="ES31" s="119" t="n"/>
      <c r="ET31" s="119" t="n"/>
      <c r="EU31" s="115">
        <f>IF(Invoer!AS51="","",Invoer!AS51)</f>
        <v/>
      </c>
      <c r="EV31" s="115">
        <f>IF(Invoer!AT51="","",Invoer!AT51)</f>
        <v/>
      </c>
      <c r="EW31" s="115">
        <f>IF(Invoer!AU51="","",Invoer!AU51)</f>
        <v/>
      </c>
      <c r="EX31" s="115">
        <f>IF(Invoer!AV51="","",Invoer!AV51)</f>
        <v/>
      </c>
      <c r="EY31" s="115">
        <f>IF(Invoer!AW51="","",Invoer!AW51)</f>
        <v/>
      </c>
      <c r="EZ31" s="115">
        <f>IF(Invoer!AX51="","",Invoer!AX51)</f>
        <v/>
      </c>
      <c r="FA31" s="115">
        <f>IF(Invoer!AY51="","",Invoer!AY51)</f>
        <v/>
      </c>
      <c r="FB31" s="115">
        <f>IF(Invoer!AZ51="","",Invoer!AZ51)</f>
        <v/>
      </c>
      <c r="FC31" s="115">
        <f>IF(Invoer!BA51="","",Invoer!BA51)</f>
        <v/>
      </c>
      <c r="FD31" s="115">
        <f>IF(Invoer!BB51="","",Invoer!BB51)</f>
        <v/>
      </c>
      <c r="FE31" s="348" t="n"/>
      <c r="FF31" s="118">
        <f>IF(AND(functie_1&lt;&gt;"",lambda&lt;&gt;""),lambda*m_schip,"")</f>
        <v/>
      </c>
      <c r="FG31" s="118">
        <f>IF(functie_1&lt;&gt;"",lambda_functie,"")</f>
        <v/>
      </c>
      <c r="FH31" s="118">
        <f>IF(functie_1&lt;&gt;"",ONB_missie,"")</f>
        <v/>
      </c>
      <c r="FI31" s="115">
        <f>IF(Lijst_componenten="","", IF(OR(FH31=0,FH31=""),FI30, IF(FI30="",FH31,1-(1-FH31)*(1-FI30))))</f>
        <v/>
      </c>
      <c r="FJ31" s="118">
        <f>IF(functie_1&lt;&gt;"",ONB_aanvang,"")</f>
        <v/>
      </c>
      <c r="FK31" s="115">
        <f>IF(Lijst_componenten="","", IF(OR(FJ31=0,FJ31=""),FK30, IF(FK30="",FJ31,1-(1-FJ31)*(1-FK30))))</f>
        <v/>
      </c>
      <c r="FL31" s="107" t="n"/>
      <c r="FM31" s="118">
        <f>IF(AND(functie_2&lt;&gt;"",lambda&lt;&gt;""),lambda*m_schip,"")</f>
        <v/>
      </c>
      <c r="FN31" s="118">
        <f>IF(functie_2&lt;&gt;"",lambda_functie,"")</f>
        <v/>
      </c>
      <c r="FO31" s="118">
        <f>IF(functie_2&lt;&gt;"",ONB_missie,"")</f>
        <v/>
      </c>
      <c r="FP31" s="115">
        <f>IF(Lijst_componenten="","", IF(OR(FO31=0,FO31=""),FP30, IF(FP30="",FO31,1-(1-FO31)*(1-FP30))))</f>
        <v/>
      </c>
      <c r="FQ31" s="118">
        <f>IF(functie_2&lt;&gt;"",ONB_aanvang,"")</f>
        <v/>
      </c>
      <c r="FR31" s="115">
        <f>IF(Lijst_componenten="","", IF(OR(FQ31=0,FQ31=""),FR30, IF(FR30="",FQ31,1-(1-FQ31)*(1-FR30))))</f>
        <v/>
      </c>
      <c r="FS31" s="107" t="n"/>
      <c r="FT31" s="118">
        <f>IF(AND(functie_3&lt;&gt;"",lambda&lt;&gt;""),lambda*m_schip,"")</f>
        <v/>
      </c>
      <c r="FU31" s="118">
        <f>IF(functie_3&lt;&gt;"",lambda_functie,"")</f>
        <v/>
      </c>
      <c r="FV31" s="118">
        <f>IF(functie_3&lt;&gt;"",ONB_missie,"")</f>
        <v/>
      </c>
      <c r="FW31" s="115">
        <f>IF(Lijst_componenten="","", IF(OR(FV31=0,FV31=""),FW30, IF(FW30="",FV31,1-(1-FV31)*(1-FW30))))</f>
        <v/>
      </c>
      <c r="FX31" s="118">
        <f>IF(functie_3&lt;&gt;"",ONB_aanvang,"")</f>
        <v/>
      </c>
      <c r="FY31" s="115">
        <f>IF(Lijst_componenten="","", IF(OR(FX31=0,FX31=""),FY30, IF(FY30="",FX31,1-(1-FX31)*(1-FY30))))</f>
        <v/>
      </c>
      <c r="FZ31" s="107" t="n"/>
      <c r="GA31" s="118">
        <f>IF(AND(functie_4&lt;&gt;"",lambda&lt;&gt;""),lambda*m_schip,"")</f>
        <v/>
      </c>
      <c r="GB31" s="118">
        <f>IF(functie_4&lt;&gt;"",lambda_functie,"")</f>
        <v/>
      </c>
      <c r="GC31" s="118">
        <f>IF(functie_4&lt;&gt;"",ONB_missie,"")</f>
        <v/>
      </c>
      <c r="GD31" s="115">
        <f>IF(Lijst_componenten="","", IF(OR(GC31=0,GC31=""),GD30, IF(GD30="",GC31,1-(1-GC31)*(1-GD30))))</f>
        <v/>
      </c>
      <c r="GE31" s="118">
        <f>IF(functie_4&lt;&gt;"",ONB_aanvang,"")</f>
        <v/>
      </c>
      <c r="GF31" s="115">
        <f>IF(Lijst_componenten="","", IF(OR(GE31=0,GE31=""),GF30, IF(GF30="",GE31,1-(1-GE31)*(1-GF30))))</f>
        <v/>
      </c>
      <c r="GG31" s="107" t="n"/>
      <c r="GH31" s="118">
        <f>IF(AND(functie_5&lt;&gt;"",lambda&lt;&gt;""),lambda*m_schip,"")</f>
        <v/>
      </c>
      <c r="GI31" s="118">
        <f>IF(functie_5&lt;&gt;"",lambda_functie,"")</f>
        <v/>
      </c>
      <c r="GJ31" s="118">
        <f>IF(functie_5&lt;&gt;"",ONB_missie,"")</f>
        <v/>
      </c>
      <c r="GK31" s="115">
        <f>IF(Lijst_componenten="","", IF(OR(GJ31=0,GJ31=""),GK30, IF(GK30="",GJ31,1-(1-GJ31)*(1-GK30))))</f>
        <v/>
      </c>
      <c r="GL31" s="118">
        <f>IF(functie_5&lt;&gt;"",ONB_aanvang,"")</f>
        <v/>
      </c>
      <c r="GM31" s="115">
        <f>IF(Lijst_componenten="","", IF(OR(GL31=0,GL31=""),GM30, IF(GM30="",GL31,1-(1-GL31)*(1-GM30))))</f>
        <v/>
      </c>
      <c r="GN31" s="107" t="n"/>
      <c r="GO31" s="118">
        <f>IF(AND(functie_6&lt;&gt;"",lambda&lt;&gt;""),lambda*m_schip,"")</f>
        <v/>
      </c>
      <c r="GP31" s="118">
        <f>IF(functie_6&lt;&gt;"",lambda_functie,"")</f>
        <v/>
      </c>
      <c r="GQ31" s="118">
        <f>IF(functie_6&lt;&gt;"",ONB_missie,"")</f>
        <v/>
      </c>
      <c r="GR31" s="115">
        <f>IF(Lijst_componenten="","", IF(OR(GQ31=0,GQ31=""),GR30, IF(GR30="",GQ31,1-(1-GQ31)*(1-GR30))))</f>
        <v/>
      </c>
      <c r="GS31" s="118">
        <f>IF(functie_6&lt;&gt;"",ONB_aanvang,"")</f>
        <v/>
      </c>
      <c r="GT31" s="115">
        <f>IF(Lijst_componenten="","", IF(OR(GS31=0,GS31=""),GT30, IF(GT30="",GS31,1-(1-GS31)*(1-GT30))))</f>
        <v/>
      </c>
      <c r="GU31" s="107" t="n"/>
      <c r="GV31" s="118">
        <f>IF(AND(functie_7&lt;&gt;"",lambda&lt;&gt;""),lambda*m_schip,"")</f>
        <v/>
      </c>
      <c r="GW31" s="118">
        <f>IF(functie_7&lt;&gt;"",lambda_functie,"")</f>
        <v/>
      </c>
      <c r="GX31" s="118">
        <f>IF(functie_7&lt;&gt;"",ONB_missie,"")</f>
        <v/>
      </c>
      <c r="GY31" s="115">
        <f>IF(Lijst_componenten="","", IF(OR(GX31=0,GX31=""),GY30, IF(GY30="",GX31,1-(1-GX31)*(1-GY30))))</f>
        <v/>
      </c>
      <c r="GZ31" s="118">
        <f>IF(functie_7&lt;&gt;"",ONB_aanvang,"")</f>
        <v/>
      </c>
      <c r="HA31" s="115">
        <f>IF(Lijst_componenten="","", IF(OR(GZ31=0,GZ31=""),HA30, IF(HA30="",GZ31,1-(1-GZ31)*(1-HA30))))</f>
        <v/>
      </c>
      <c r="HB31" s="107" t="n"/>
      <c r="HC31" s="118">
        <f>IF(AND(functie_8&lt;&gt;"",lambda&lt;&gt;""),lambda*m_schip,"")</f>
        <v/>
      </c>
      <c r="HD31" s="118">
        <f>IF(functie_8&lt;&gt;"",lambda_functie,"")</f>
        <v/>
      </c>
      <c r="HE31" s="118">
        <f>IF(functie_8&lt;&gt;"",ONB_missie,"")</f>
        <v/>
      </c>
      <c r="HF31" s="115">
        <f>IF(Lijst_componenten="","", IF(OR(HE31=0,HE31=""),HF30, IF(HF30="",HE31,1-(1-HE31)*(1-HF30))))</f>
        <v/>
      </c>
      <c r="HG31" s="118">
        <f>IF(functie_8&lt;&gt;"",ONB_aanvang,"")</f>
        <v/>
      </c>
      <c r="HH31" s="115">
        <f>IF(Lijst_componenten="","", IF(OR(HG31=0,HG31=""),HH30, IF(HH30="",HG31,1-(1-HG31)*(1-HH30))))</f>
        <v/>
      </c>
      <c r="HI31" s="107" t="n"/>
      <c r="HJ31" s="118">
        <f>IF(AND(functie_9&lt;&gt;"",lambda&lt;&gt;""),lambda*m_schip,"")</f>
        <v/>
      </c>
      <c r="HK31" s="118">
        <f>IF(functie_9&lt;&gt;"",lambda_functie,"")</f>
        <v/>
      </c>
      <c r="HL31" s="118">
        <f>IF(functie_9&lt;&gt;"",ONB_missie,"")</f>
        <v/>
      </c>
      <c r="HM31" s="115">
        <f>IF(Lijst_componenten="","", IF(OR(HL31=0,HL31=""),HM30, IF(HM30="",HL31,1-(1-HL31)*(1-HM30))))</f>
        <v/>
      </c>
      <c r="HN31" s="118">
        <f>IF(functie_9&lt;&gt;"",ONB_aanvang,"")</f>
        <v/>
      </c>
      <c r="HO31" s="115">
        <f>IF(Lijst_componenten="","", IF(OR(HN31=0,HN31=""),HO30, IF(HO30="",HN31,1-(1-HN31)*(1-HO30))))</f>
        <v/>
      </c>
      <c r="HP31" s="107" t="n"/>
      <c r="HQ31" s="118">
        <f>IF(AND(functie_10&lt;&gt;"",lambda&lt;&gt;""),lambda*m_schip,"")</f>
        <v/>
      </c>
      <c r="HR31" s="118">
        <f>IF(functie_10&lt;&gt;"",lambda_functie,"")</f>
        <v/>
      </c>
      <c r="HS31" s="118">
        <f>IF(functie_10&lt;&gt;"",ONB_missie,"")</f>
        <v/>
      </c>
      <c r="HT31" s="115">
        <f>IF(Lijst_componenten="","", IF(OR(HS31=0,HS31=""),HT30, IF(HT30="",HS31,1-(1-HS31)*(1-HT30))))</f>
        <v/>
      </c>
      <c r="HU31" s="118">
        <f>IF(functie_10&lt;&gt;"",ONB_aanvang,"")</f>
        <v/>
      </c>
      <c r="HV31" s="115">
        <f>IF(Lijst_componenten="","", IF(OR(HU31=0,HU31=""),HV30, IF(HV30="",HU31,1-(1-HU31)*(1-HV30))))</f>
        <v/>
      </c>
      <c r="HW31" s="353" t="n"/>
      <c r="HX31" s="113" t="n"/>
      <c r="HY31" s="353" t="n"/>
      <c r="HZ31" s="353" t="n"/>
      <c r="IA31" s="353" t="n"/>
      <c r="IB31" s="353" t="n"/>
      <c r="IC31" s="353" t="n"/>
      <c r="ID31" s="353" t="n"/>
      <c r="IE31" s="353" t="n"/>
      <c r="IF31" s="353" t="n"/>
      <c r="IG31" s="353" t="n"/>
      <c r="IH31" s="353" t="n"/>
      <c r="II31" s="353" t="n"/>
      <c r="IJ31" s="353" t="n"/>
      <c r="IK31" s="353" t="n"/>
      <c r="IL31" s="353" t="n"/>
      <c r="IM31" s="353" t="n"/>
      <c r="IN31" s="353" t="n"/>
      <c r="IO31" s="353" t="n"/>
      <c r="IP31" s="353" t="n"/>
      <c r="IQ31" s="353" t="n"/>
      <c r="IR31" s="353" t="n"/>
      <c r="IS31" s="353" t="n"/>
      <c r="IT31" s="353" t="n"/>
      <c r="IU31" s="353" t="n"/>
      <c r="IV31" s="353" t="n"/>
    </row>
    <row r="32" ht="12" customFormat="1" customHeight="1" s="353">
      <c r="A32" s="99" t="n">
        <v>15</v>
      </c>
      <c r="B32" s="649">
        <f>N(Invoer!B52)</f>
        <v/>
      </c>
      <c r="C32" s="649">
        <f>N(Invoer!C52)</f>
        <v/>
      </c>
      <c r="D32" s="649">
        <f>N(Invoer!D52)</f>
        <v/>
      </c>
      <c r="E32" s="649">
        <f>N(Invoer!E52)</f>
        <v/>
      </c>
      <c r="F32" s="649">
        <f>N(Invoer!F52)</f>
        <v/>
      </c>
      <c r="G32" s="649">
        <f>N(Invoer!G52)</f>
        <v/>
      </c>
      <c r="H32" s="649">
        <f>N(Invoer!H52)</f>
        <v/>
      </c>
      <c r="I32" s="649">
        <f>N(Invoer!I52)</f>
        <v/>
      </c>
      <c r="J32" s="649">
        <f>N(Invoer!J52)</f>
        <v/>
      </c>
      <c r="K32" s="649">
        <f>N(Invoer!K52)</f>
        <v/>
      </c>
      <c r="L32" s="58">
        <f>IF(Invoer!L52="","",Invoer!L52)</f>
        <v/>
      </c>
      <c r="M32" s="650">
        <f>N(Invoer!M52)</f>
        <v/>
      </c>
      <c r="N32" s="58">
        <f>IF(Invoer!N52="","",Invoer!N52)</f>
        <v/>
      </c>
      <c r="O32" s="119" t="n"/>
      <c r="P32" s="96">
        <f>IF(Invoer!BK52="","",Invoer!BK52)</f>
        <v/>
      </c>
      <c r="Q32" s="96">
        <f>IF(Invoer!BL52="","",Invoer!BL52)</f>
        <v/>
      </c>
      <c r="R32" s="96">
        <f>IF(Invoer!BM52="","",Invoer!BM52)</f>
        <v/>
      </c>
      <c r="S32" s="96">
        <f>IF(Invoer!BN52="","",Invoer!BN52)</f>
        <v/>
      </c>
      <c r="T32" s="96">
        <f>IF(Invoer!BO52="","",Invoer!BO52)</f>
        <v/>
      </c>
      <c r="U32" s="96">
        <f>IF(Invoer!BP52="","",Invoer!BP52)</f>
        <v/>
      </c>
      <c r="V32" s="60" t="n"/>
      <c r="W32" s="115">
        <f>IF(Invoer!BQ52="","",Invoer!BQ52)</f>
        <v/>
      </c>
      <c r="X32" s="115">
        <f>IF(Invoer!BR52="","",Invoer!BR52)</f>
        <v/>
      </c>
      <c r="Y32" s="60" t="n"/>
      <c r="Z32" s="115">
        <f>IF(Invoer!BS52="","",Invoer!BS52)</f>
        <v/>
      </c>
      <c r="AA32" s="115">
        <f>IF(Invoer!BT52="","",Invoer!BT52)</f>
        <v/>
      </c>
      <c r="AB32" s="115">
        <f>IF(Invoer!P52="","",Invoer!P52)</f>
        <v/>
      </c>
      <c r="AC32" s="60" t="n"/>
      <c r="AD32" s="34">
        <f>IF(Invoer!Q52="","",Invoer!Q52)</f>
        <v/>
      </c>
      <c r="AE32" s="110" t="n"/>
      <c r="AF32" s="96">
        <f>IF(Invoer!R52="","",Invoer!R52)</f>
        <v/>
      </c>
      <c r="AG32" s="107" t="n"/>
      <c r="AH32" s="107" t="n"/>
      <c r="AI32" s="658">
        <f>IF(N(Invoer!S52)=0,"",Invoer!S52)</f>
        <v/>
      </c>
      <c r="AJ32" s="659">
        <f>IF(Invoer!T52="","",Invoer!T52)</f>
        <v/>
      </c>
      <c r="AK32" s="365" t="n"/>
      <c r="AL32" s="659">
        <f>IF(Invoer!U52="","",Invoer!U52)</f>
        <v/>
      </c>
      <c r="AM32" s="659">
        <f>IF(Invoer!V52="","",Invoer!V52)</f>
        <v/>
      </c>
      <c r="AN32" s="659">
        <f>IF(Invoer!W52="","",Invoer!W52)</f>
        <v/>
      </c>
      <c r="AO32" s="368" t="n"/>
      <c r="AP32" s="660">
        <f>N(Invoer!X52)</f>
        <v/>
      </c>
      <c r="AQ32" s="660">
        <f>N(Invoer!Y52)</f>
        <v/>
      </c>
      <c r="AR32" s="660">
        <f>N(Invoer!Z52)</f>
        <v/>
      </c>
      <c r="AS32" s="660">
        <f>N(Invoer!AA52)</f>
        <v/>
      </c>
      <c r="AT32" s="660">
        <f>N(Invoer!AB52)</f>
        <v/>
      </c>
      <c r="AU32" s="660">
        <f>N(Invoer!AC52)</f>
        <v/>
      </c>
      <c r="AV32" s="368" t="n"/>
      <c r="AW32" s="661">
        <f>N(Invoer!AD52)</f>
        <v/>
      </c>
      <c r="AX32" s="368" t="n"/>
      <c r="AY32" s="541">
        <f>IF(Periodiciteit&lt;&gt;"",(uurtarief_wd*(IF(ISNUMBER(tijd_wd),tijd_wd,0))+uurtarief_td*(IF(ISNUMBER(tijd_td),tijd_td,0))+uurtarief_sb*(IF(ISNUMBER(tijd_sb),tijd_sb,0))+uurtarief_rw*(IF(ISNUMBER(tijd_rw),tijd_rw,0))+uurtarief_d*(IF(ISNUMBER(tijd_d),tijd_d,0))+uurtarief_3*(IF(ISNUMBER(tijd_3),tijd_3,0)) +(IF(ISNUMBER(f_vast),f_vast,0)))*(IF(Perio_int="j",1,IF(Perio_int="m",12,IF(Perio_int="w",52,IF(Perio_int="d",365,0)))))*Periodiciteit*aantal_componenten,"")</f>
        <v/>
      </c>
      <c r="AZ32" s="368" t="n"/>
      <c r="BA32" s="542">
        <f>IF(N(Invoer!AE52)=0,"",Invoer!AE52)</f>
        <v/>
      </c>
      <c r="BB32" s="368" t="n"/>
      <c r="BC32" s="542">
        <f>IF(AND(Periodiciteit&lt;&gt;"",Kosten_res_pk&lt;&gt;""), Kosten_res_pk*(IF(Perio_int="j",1,IF(Perio_int="m",12,IF(Perio_int="w",52,IF(Perio_int="d",365,0)))))*Periodiciteit*aantal_componenten,"")</f>
        <v/>
      </c>
      <c r="BD32" s="368" t="n"/>
      <c r="BE32" s="370" t="n"/>
      <c r="BF32" s="368" t="n"/>
      <c r="BG32" s="542">
        <f>IF(Kosten_res_trade &lt;&gt;"", Kosten_res_trade, Kosten_res_jaar )</f>
        <v/>
      </c>
      <c r="BH32" s="368" t="n"/>
      <c r="BI32" s="543">
        <f>IF(N(Invoer!AF52)=0,"",Invoer!AF52)</f>
        <v/>
      </c>
      <c r="BJ32" s="368" t="n"/>
      <c r="BK32" s="543">
        <f>IF(AND(Periodiciteit&lt;&gt;"",Gevolgkosten&lt;&gt;""), Gevolgkosten*(IF(Perio_int="j",1,IF(Perio_int="m",12,IF(Perio_int="w",52,IF(Perio_int="d",365,0)))))*Periodiciteit*aantal_componenten,"")</f>
        <v/>
      </c>
      <c r="BL32" s="368" t="n"/>
      <c r="BM32" s="660">
        <f>N(Invoer!AJ52)</f>
        <v/>
      </c>
      <c r="BN32" s="662">
        <f>N(Invoer!AK52)</f>
        <v/>
      </c>
      <c r="BO32" s="662">
        <f>N(Invoer!AL52)</f>
        <v/>
      </c>
      <c r="BP32" s="662">
        <f>N(Invoer!AM52)</f>
        <v/>
      </c>
      <c r="BQ32" s="368" t="n"/>
      <c r="BR32" s="662">
        <f>N(Invoer!AN52)</f>
        <v/>
      </c>
      <c r="BS32" s="543">
        <f>IF(N(Invoer!AO52)=0,"",Invoer!AO52)</f>
        <v/>
      </c>
      <c r="BT32" s="662">
        <f>N(Invoer!AP52)</f>
        <v/>
      </c>
      <c r="BU32" s="368" t="n"/>
      <c r="BV32" s="662">
        <f>N(Invoer!AQ52)</f>
        <v/>
      </c>
      <c r="BW32" s="663">
        <f>N(Invoer!AR52)</f>
        <v/>
      </c>
      <c r="BX32" s="480" t="n"/>
      <c r="BY32" s="477" t="n"/>
      <c r="BZ32" s="107" t="n"/>
      <c r="CA32" s="64">
        <f>IF(N(Invoer!AG52)=0,"",Invoer!AG52)</f>
        <v/>
      </c>
      <c r="CB32" s="657">
        <f>N(Invoer!AH52)</f>
        <v/>
      </c>
      <c r="CC32" s="657">
        <f>N(Invoer!AI52)</f>
        <v/>
      </c>
      <c r="CD32" s="64">
        <f>IF( OR(CO_rep&lt;&gt;"",CO_verv&lt;&gt;""),IF(lambda_fabrikant&lt;&gt;"",IF(Uitvoeren_missie="N", (1-EXP(-aantal_componenten*lambda_fabrikant*Missieduur*p_gebruik_missie))/Missieduur/aantal_componenten,
IF(doorlooptijd_missie_i &lt;&gt; 0,((aantal_componenten*lambda_fabrikant*(1/doorlooptijd_missie_i)/(aantal_componenten*lambda_fabrikant+1/doorlooptijd_missie_i))*Missieduur*p_gebruik_missie+(aantal_componenten*lambda_fabrikant)^2/(aantal_componenten*lambda_fabrikant+1/doorlooptijd_missie_i)^2*(1-EXP(-(aantal_componenten*lambda_fabrikant+1/doorlooptijd_missie_i)*Missieduur*p_gebruik_missie)))/Missieduur/aantal_componenten,lambda_fabrikant*p_gebruik_missie)),""),"")</f>
        <v/>
      </c>
      <c r="CE32" s="64">
        <f>IF( OR(CO_rep&lt;&gt;"",CO_verv&lt;&gt;""),IF(lambda_fabrikant&lt;&gt;"",IF(uitvoeren_GO = "J", (1-EXP(-(aantal_componenten*lambda_fabrikant*p_gebruik_wal* interval_groot_onderhoud/8760*Missies_per_jaar*walduur)))/ (interval_groot_onderhoud/8760*Missies_per_jaar*walduur) / aantal_componenten,IF(doorlooptijd_wal_i &lt;&gt; 0,((aantal_componenten*lambda_fabrikant*(1/doorlooptijd_wal_i)/(aantal_componenten*lambda_fabrikant+1/doorlooptijd_wal_i))*walduur*p_gebruik_wal+(aantal_componenten*lambda_fabrikant)^2/(aantal_componenten*lambda_fabrikant+1/doorlooptijd_wal_i)^2*(1-EXP(-(aantal_componenten*lambda_fabrikant+1/doorlooptijd_wal_i)*walduur*p_gebruik_wal)))/walduur/aantal_componenten,lambda_fabrikant*p_gebruik_wal)),""),"")</f>
        <v/>
      </c>
      <c r="CF32" s="64">
        <f>IF( OR(CO_rep&lt;&gt;"",CO_verv&lt;&gt;""),
IF(OR(lambda_missie_g&lt;&gt;"",lambda_wal_g&lt;&gt;""), "", IF(Perio_int="j",1/8760, IF(Perio_int="m",12/8760, IF(Perio_int="w",52/8760, IF(Perio_int="d",365/8760,"error") ) ) )*Periodiciteit),"")</f>
        <v/>
      </c>
      <c r="CG32" s="66">
        <f>IF(OR(CO_rep&lt;&gt;"",CO_verv&lt;&gt;""),1,"")</f>
        <v/>
      </c>
      <c r="CH32" s="64">
        <f>IF( OR(CO_rep&lt;&gt;"",CO_verv&lt;&gt;""),IF(lambda_fabrikant="",lambda_kalendertijd*missiepercentage*8760/(Missies_per_jaar*Missieduur),""),"")</f>
        <v/>
      </c>
      <c r="CI32" s="64">
        <f>IF( OR(CO_rep&lt;&gt;"",CO_verv&lt;&gt;""),IF(lambda_fabrikant="",lambda_kalendertijd*(1-missiepercentage)*8760/(Missies_per_jaar*walduur),""),"")</f>
        <v/>
      </c>
      <c r="CJ32" s="64">
        <f>IF( OR(CO_rep&lt;&gt;"",CO_verv&lt;&gt;""),
IF(OR(lambda_missie_g&lt;&gt;"",lambda_wal_g&lt;&gt;""), (lambda_missie_g*Missieduur + lambda_wal_g*walduur)/8760*Missies_per_jaar, lambda_kalendertijd),"")</f>
        <v/>
      </c>
      <c r="CK32" s="64">
        <f>IF(lambda&lt;&gt;"",m_schip*lambda,"")</f>
        <v/>
      </c>
      <c r="CL32" s="65">
        <f>IF(OR(CO_rep&lt;&gt;"",CO_verv&lt;&gt;""),IF(Redundantie = "J","?",1),"")</f>
        <v/>
      </c>
      <c r="CM32" s="64">
        <f>IF(lambda&lt;&gt;"",IF(Redundantie="J",IF(lambda_missie_g&lt;&gt;"",lambda_missie_g*redundantie_factor,lambda_missie*redundantie_factor),IF(lambda_missie_g&lt;&gt;"",lambda_missie_g*m_schip,lambda_missie*m_schip)),"")</f>
        <v/>
      </c>
      <c r="CN32" s="64">
        <f>IF(lambda&lt;&gt;"",lambda_functie*Missieduur*Missies_per_jaar/8760,"")</f>
        <v/>
      </c>
      <c r="CO32" s="64">
        <f>IF(lambda&lt;&gt;"",IF(Redundantie="J",IF(lambda_wal_g&lt;&gt;"",lambda_wal_g*redundantie_factor,lambda_wal*redundantie_factor),IF(lambda_wal_g&lt;&gt;"",lambda_wal_g*m_schip,lambda_wal*m_schip)),"")</f>
        <v/>
      </c>
      <c r="CP32" s="64">
        <f>IF(lambda&lt;&gt;"",lambda_functie_wal*walduur*Missies_per_jaar/8760,"")</f>
        <v/>
      </c>
      <c r="CQ32" s="107" t="n"/>
      <c r="CR32" s="115">
        <f>IF(OR(CO_verv&lt;&gt;"",CO_rep&lt;&gt;""),aantal_componenten,"")</f>
        <v/>
      </c>
      <c r="CS32" s="66">
        <f>IF( OR(CO_rep&lt;&gt;"",CO_verv&lt;&gt;""),IF(Aantal_res_boord=0,1,IF(lambda_missie_g&lt;&gt;"",1-POISSON(Aantal_res_boord-1,m_schip*lambda_missie_g*Missieduur,TRUE),1-POISSON(Aantal_res_boord-1,m_schip*lambda_missie*Missieduur,TRUE))),"")</f>
        <v/>
      </c>
      <c r="CT32" s="107" t="n"/>
      <c r="CU32" s="115">
        <f>IF(OR(CO_verv&lt;&gt;"",CO_rep&lt;&gt;""),Aantal_fregatten * m_schip,"")</f>
        <v/>
      </c>
      <c r="CV32" s="65">
        <f>IF(AND(lambda&gt;0,Aantal_ini_wal&gt;=0,Aantal_res_wal&lt;&gt;""),IF(Aantal_ini_wal&gt;Aantal_res_wal,(Aantal_ini_wal-Aantal_res_wal)/(m_vloot*lambda*8760),0),"")</f>
        <v/>
      </c>
      <c r="CW32" s="65">
        <f>IF(AND(lambda&gt;0,Aantal_max_wal&gt;=0,Aantal_res_wal&lt;&gt;""),IF(Aantal_max_wal&gt;Aantal_res_wal,(Aantal_max_wal-Aantal_res_wal)/(m_vloot*lambda*8760),0),"")</f>
        <v/>
      </c>
      <c r="CX32" s="68">
        <f>IF(AND(ini_periode&lt;&gt;"",bestel_interval&lt;&gt;"",besteltijd&lt;&gt;""),IF(ini_periode&gt;=Looptijd,0,
IF(bestel_interval&gt;=(Looptijd-ini_periode),IF(besteltijd&lt;(Looptijd-ini_periode),besteltijd/8760/Looptijd,(Looptijd-ini_periode)/Looptijd),
IF(((Looptijd-ini_periode)-(INT((Looptijd-ini_periode)/(besteltijd/8760+bestel_interval))))&gt;=besteltijd/8760,(1+INT((Looptijd-ini_periode)/(besteltijd/8760+bestel_interval)))*(besteltijd/8760)/Looptijd,(INT((Looptijd-ini_periode)/(besteltijd/8760+bestel_interval))*(besteltijd/8760)+((Looptijd-ini_periode)-(INT((Looptijd-ini_periode)/(besteltijd/8760+bestel_interval)))*(besteltijd/8760+bestel_interval)))/Looptijd))),"")</f>
        <v/>
      </c>
      <c r="CY32" s="66">
        <f>IF( OR(CO_rep&lt;&gt;"",CO_verv&lt;&gt;""),
IF( Aantal_res_wal+(Aantal_fregatten-1)*Aantal_res_boord=0, 1*IF(percentage_looptijd_inbestelling&lt;&gt;"",percentage_looptijd_inbestelling,1),
(1-POISSON(Aantal_res_wal-1+(Aantal_fregatten-1)*Aantal_res_boord, m_vloot*lambda*besteltijd,TRUE))*IF(percentage_looptijd_inbestelling&lt;&gt;"",percentage_looptijd_inbestelling,1)),"")</f>
        <v/>
      </c>
      <c r="CZ32" s="66">
        <f>IF( OR(CO_rep&lt;&gt;"",CO_verv&lt;&gt;""),IF( Aantal_res_wal=0,1, 1-POISSON(Aantal_res_boord+Aantal_res_wal-1, m_vloot*lambda*besteltijd,TRUE) ),"")</f>
        <v/>
      </c>
      <c r="DA32" s="107" t="n"/>
      <c r="DB32" s="115">
        <f>IF(OR(Uitvoeren_missie&lt;&gt;"J",uitvoeren_bedrijf="J",uitvoeren_GO="J"), "",
IF(TAO_revisie&lt;&gt;"", TAO_rev_verv_tijd,
IF(TAO_vervanging&lt;&gt;"", TAO_rev_verv_tijd,
IF(PO_doorlooptijd&lt;&gt;0, PO_doorlooptijd,"" ))))</f>
        <v/>
      </c>
      <c r="DC32" s="107" t="n"/>
      <c r="DD32" s="115">
        <f>IF(AND(CO_rep&lt;&gt;"", Uitvoeren_missie="N"), Missieduur,
IF(AND(CO_rep&lt;&gt;"", Uitvoeren_missie="J"), CO_zoektijd + CO_rep_verv_tijd,""))</f>
        <v/>
      </c>
      <c r="DE32" s="115">
        <f>IF(AND(CO_verv&lt;&gt;"", Uitvoeren_missie="N"), Missieduur,
IF(AND(CO_verv&lt;&gt;"", Uitvoeren_missie="J"), CO_zoektijd + CO_rep_verv_tijd,""))</f>
        <v/>
      </c>
      <c r="DF32" s="115">
        <f>IF(AND(CO_verv&lt;&gt;"", Uitvoeren_missie="N"), Missieduur,
IF(AND(CO_verv&lt;&gt;"", Uitvoeren_missie="J"), wachttijd_invlieg+CO_zoektijd + CO_rep_verv_tijd,""))</f>
        <v/>
      </c>
      <c r="DG32" s="115">
        <f>IF(AND(CO_verv&lt;&gt;"", Uitvoeren_missie="N"), Missieduur,
IF(AND(CO_verv&lt;&gt;"", Uitvoeren_missie="J"), besteltijd + wachttijd_invlieg + CO_zoektijd + CO_rep_verv_tijd,""))</f>
        <v/>
      </c>
      <c r="DH32" s="115">
        <f> IF(AND(doorlooptijd_missie_met&lt;&gt;"",CO_verv&lt;&gt;""), P_op_boord* ( P_op_vloot*doorlooptijd_missie_zonder + (1-P_op_vloot)*doorlooptijd_invlieg ) + (1-P_op_boord)* doorlooptijd_missie_met, "")</f>
        <v/>
      </c>
      <c r="DI32" s="115">
        <f>IF(CO_rep&lt;&gt;"",doorlooptijd_missie_rep,IF(AND(CO_verv&lt;&gt;"",Aantal_res_boord&lt;&gt;"",Aantal_res_boord&lt;&gt;0),doorlooptijd_missie_met,IF(AND(CO_verv&lt;&gt;"",Aantal_max_wal&lt;&gt;"",Aantal_max_wal&lt;&gt;0),doorlooptijd_invlieg,doorlooptijd_missie_zonder)))</f>
        <v/>
      </c>
      <c r="DJ32" s="115">
        <f>IF(doorlooptijd_missie_verv&lt;&gt;"", doorlooptijd_missie_verv, IF(doorlooptijd_missie_rep&lt;&gt;"", doorlooptijd_missie_rep,""))</f>
        <v/>
      </c>
      <c r="DK32" s="107" t="n"/>
      <c r="DL32" s="115">
        <f> IF(CO_rep&lt;&gt;"", CO_zoektijd + CO_rep_verv_tijd,"")</f>
        <v/>
      </c>
      <c r="DM32" s="115">
        <f> IF(AND(CO_verv&lt;&gt;"",CO_rep=""), wachttijd_wal+CO_zoektijd + CO_rep_verv_tijd,"")</f>
        <v/>
      </c>
      <c r="DN32" s="115">
        <f> IF(AND(CO_verv&lt;&gt;"",CO_rep=""), wachttijd_invlieg+CO_zoektijd + CO_rep_verv_tijd,"")</f>
        <v/>
      </c>
      <c r="DO32" s="115">
        <f>IF(AND(CO_verv&lt;&gt;"",CO_rep=""), besteltijd + wachttijd_wal + CO_zoektijd + CO_rep_verv_tijd,"")</f>
        <v/>
      </c>
      <c r="DP32" s="69">
        <f> IF(AND(doorlooptijd_van_wal&lt;&gt;"",CO_verv&lt;&gt;""), P_op_vloot*doorlooptijd_wal_zonder +
(1-P_op_vloot)*(P_op_wal*Doorlooptijd_transport+ (1-P_op_wal)*doorlooptijd_van_wal ), "")</f>
        <v/>
      </c>
      <c r="DQ32" s="115">
        <f>IF(CO_rep&lt;&gt;"",doorlooptijd_wal_rep,IF(AND(CO_verv&lt;&gt;"",AND(Aantal_res_boord&lt;&gt;"",Aantal_res_boord&lt;&gt;0)),doorlooptijd_van_wal,IF(AND(CO_verv&lt;&gt;"",AND(Aantal_max_wal&lt;&gt;"",Aantal_max_wal&lt;&gt;0)),Doorlooptijd_transport,doorlooptijd_wal_zonder)))</f>
        <v/>
      </c>
      <c r="DR32" s="115">
        <f>IF(doorlooptijd_wal_verv&lt;&gt;"", doorlooptijd_wal_verv, IF(doorlooptijd_wal_rep&lt;&gt;"", doorlooptijd_wal_rep,""))</f>
        <v/>
      </c>
      <c r="DS32" s="107" t="n"/>
      <c r="DT32" s="64">
        <f>IF(OR(CO_verv&lt;&gt;"",CO_rep&lt;&gt;""),IF(lambda_functie&lt;&gt;"",ONB_missie_tussenberekening_1 + ONB_missie_tussenberekening_2,""),"")</f>
        <v/>
      </c>
      <c r="DU32" s="64">
        <f>IF(OR(CO_rep&lt;&gt;"",CO_verv&lt;&gt;""),IF(lambda_functie&lt;&gt;"",IF(Uitvoeren_missie="N",1-(1-EXP(-lambda_functie*Missieduur))/(lambda_functie*Missieduur),IF(CO_verv&lt;&gt;"",
(1-P_op_boord)*IF(doorlooptijd_missie_met&lt;&gt;0,lambda_functie/(lambda_functie+(1/doorlooptijd_missie_met))-lambda_functie/((lambda_functie+(1/doorlooptijd_missie_met))^2*Missieduur)*(1-EXP(-(lambda_functie+(1/doorlooptijd_missie_met))*Missieduur)),0)+P_op_boord*((1-P_op_vloot)*IF(doorlooptijd_invlieg&lt;&gt;0,lambda_functie/(lambda_functie+(1 /doorlooptijd_invlieg))-lambda_functie/((lambda_functie+(1/doorlooptijd_invlieg))^2*Missieduur)*(1-EXP(-(lambda_functie+(1/doorlooptijd_invlieg))*Missieduur)),0)+P_op_vloot*IF(doorlooptijd_missie_zonder&lt;&gt;0,lambda_functie/(lambda_functie+(1/doorlooptijd_missie_zonder))-lambda_functie/((lambda_functie+(1/doorlooptijd_missie_zonder))^2*Missieduur)*(1-EXP(-(lambda_functie+(1/doorlooptijd_missie_zonder))*Missieduur)),0)),0)),0),"")</f>
        <v/>
      </c>
      <c r="DV32" s="64">
        <f>IF(OR(CO_rep&lt;&gt;"",CO_verv&lt;&gt;""),IF(lambda_functie&lt;&gt;"",IF(CO_rep&lt;&gt;"",
IF(doorlooptijd_missie_rep&lt;&gt;0,lambda_functie/(lambda_functie+(1/doorlooptijd_missie_rep))-lambda_functie/((lambda_functie+(1/doorlooptijd_missie_rep))^2*Missieduur)*(1-EXP(-(lambda_functie+(1/doorlooptijd_missie_rep))*Missieduur)),0),0)),"")</f>
        <v/>
      </c>
      <c r="DW32" s="66">
        <f>IF(ONB_missie="","",IF(tot_ONB_missie&lt;&gt;0,ONB_missie/tot_ONB_missie,0))</f>
        <v/>
      </c>
      <c r="DX32" s="115">
        <f>IF(Lijst_componenten="","", IF(OR(DT32=0,DT32=""),DX31, IF(DX31="",DT32,1-(1-DT32)*(1-DX31))))</f>
        <v/>
      </c>
      <c r="DY32" s="107" t="n"/>
      <c r="DZ32" s="96">
        <f>IF(OR(CO_rep&lt;&gt;"",CO_verv&lt;&gt;""),IF(uitvoeren_GO="J",ONB_tussenberekening_1,IF(CO_rep&lt;&gt;"",ONB_tussenberekening_2,ONB_tussenberekening_3+ONB_tussenberekening_4+ONB_tussenberekening_5)),"")</f>
        <v/>
      </c>
      <c r="EA32" s="96">
        <f>IF(OR(CO_rep&lt;&gt;"",CO_verv&lt;&gt;""),IF(AND(OR(lambda_functie_kalendertijd&lt;&gt;"",lambda_functie_wal_kalendertijd&lt;&gt;""),uitvoeren_GO="J"),
1-(1-EXP(-(lambda_functie_kalendertijd+lambda_functie_wal_kalendertijd)*interval_groot_onderhoud))
/((lambda_functie_kalendertijd+lambda_functie_wal_kalendertijd)*interval_groot_onderhoud),0),"")</f>
        <v/>
      </c>
      <c r="EB32" s="96">
        <f>IF(OR(CO_rep&lt;&gt;"",CO_verv&lt;&gt;""),IF(AND(CO_rep &lt;&gt;"",OR(doorlooptijd_missie_rep&gt;=walduur,doorlooptijd_wal_rep &gt;= walduur)),IF(doorlooptijd_missie_rep &gt;= walduur,lambda_functie_kalendertijd / (lambda_functie_kalendertijd + 1/doorlooptijd_missie_rep),0)
+ IF(doorlooptijd_wal_rep &gt;= walduur,lambda_functie_wal_kalendertijd / (lambda_functie_wal_kalendertijd + 1/doorlooptijd_wal_rep),0),IF(CO_rep &lt;&gt; "",(1 -EXP(-(lambda_functie_wal_kalendertijd + 1 / doorlooptijd_wal_rep)*walduur))
* lambda_functie_wal_kalendertijd / (lambda_functie_wal_kalendertijd + 1/ doorlooptijd_wal_rep),0)),"")</f>
        <v/>
      </c>
      <c r="EC32" s="96">
        <f>IF(OR(CO_rep&lt;&gt;"",CO_verv&lt;&gt;""),IF(CO_verv&lt;&gt;"",
P_op_boord* ( P_op_vloot*IF(doorlooptijd_missie_zonder&gt;=walduur, lambda_functie_kalendertijd / (lambda_functie_kalendertijd + 1/doorlooptijd_missie_zonder),0)+ (1- P_op_vloot)*IF(doorlooptijd_invlieg&gt;=walduur, lambda_functie_kalendertijd / (lambda_functie_kalendertijd + 1 /doorlooptijd_invlieg),0) )
+ (1- P_op_boord) * IF(doorlooptijd_missie_met&gt;=walduur,lambda_functie_kalendertijd / (lambda_functie_kalendertijd + 1 / doorlooptijd_missie_met),0),0),"")</f>
        <v/>
      </c>
      <c r="ED32" s="96">
        <f>IF(OR(CO_rep&lt;&gt;"",CO_verv&lt;&gt;""),IF(CO_verv &lt;&gt;"",
(1-P_op_vloot)*((1 - P_op_wal)*IF(doorlooptijd_van_wal&gt;=walduur,lambda_functie_wal_kalendertijd/(lambda_functie_wal_kalendertijd+ 1/ doorlooptijd_van_wal),0)
+ P_op_wal*IF(Doorlooptijd_transport&gt;=walduur,lambda_functie_wal_kalendertijd / (lambda_functie_wal_kalendertijd +1/Doorlooptijd_transport),0) )+ P_op_vloot*IF(doorlooptijd_wal_zonder&gt;=walduur, lambda_functie_wal_kalendertijd / (lambda_functie_wal_kalendertijd + 1/ doorlooptijd_wal_zonder),0),0),"")</f>
        <v/>
      </c>
      <c r="EE32" s="96">
        <f>IF(OR(CO_rep&lt;&gt;"",CO_verv&lt;&gt;""),IF(CO_verv &lt;&gt;"",
(1-P_op_vloot)* ( (1- P_op_wal)* (IF(AND(doorlooptijd_van_wal&lt;&gt;0,doorlooptijd_van_wal&lt;walduur),(1 -EXP(-(lambda_functie_wal_kalendertijd + 1 / doorlooptijd_van_wal)*walduur))
* lambda_functie_wal_kalendertijd / (lambda_functie_wal_kalendertijd + 1/ doorlooptijd_van_wal),0))
+ P_op_wal*(IF(AND(Doorlooptijd_transport&lt;&gt;0,Doorlooptijd_transport&lt;walduur),(1 -EXP(-(lambda_functie_wal_kalendertijd + 1 / Doorlooptijd_transport)*walduur))
* lambda_functie_wal_kalendertijd /(lambda_functie_wal_kalendertijd + 1/ Doorlooptijd_transport),0)))
+ P_op_vloot*(IF(AND(doorlooptijd_wal_zonder&lt;&gt;0,doorlooptijd_wal_zonder&lt;walduur),(1 -EXP(-(lambda_functie_wal_kalendertijd + 1 / doorlooptijd_wal_zonder)*walduur))
* lambda_functie_wal_kalendertijd / (lambda_functie_wal_kalendertijd + 1/ doorlooptijd_wal_zonder),0)),0),"")</f>
        <v/>
      </c>
      <c r="EF32" s="66">
        <f>IF(ONB_aanvang="","",IF(tot_ONB_aanvang&lt;&gt;0,ONB_aanvang/tot_ONB_aanvang,0))</f>
        <v/>
      </c>
      <c r="EG32" s="115">
        <f>IF(Lijst_componenten="","", IF(OR(DZ32=0,DZ32=""),EG31, IF(EG31="",DZ32,1-(1-DZ32)*(1-EG31))))</f>
        <v/>
      </c>
      <c r="EH32" s="107" t="n"/>
      <c r="EI32" s="40">
        <f>IF(Invoer!BE52="","",Invoer!BE52)</f>
        <v/>
      </c>
      <c r="EJ32" s="71" t="n"/>
      <c r="EK32" s="120" t="n"/>
      <c r="EL32" s="119" t="n"/>
      <c r="EM32" s="107" t="n"/>
      <c r="EN32" s="72" t="n"/>
      <c r="EO32" s="107" t="n"/>
      <c r="EP32" s="107" t="n"/>
      <c r="EQ32" s="119" t="n"/>
      <c r="ER32" s="120" t="n"/>
      <c r="ES32" s="119" t="n"/>
      <c r="ET32" s="119" t="n"/>
      <c r="EU32" s="115">
        <f>IF(Invoer!AS52="","",Invoer!AS52)</f>
        <v/>
      </c>
      <c r="EV32" s="115">
        <f>IF(Invoer!AT52="","",Invoer!AT52)</f>
        <v/>
      </c>
      <c r="EW32" s="115">
        <f>IF(Invoer!AU52="","",Invoer!AU52)</f>
        <v/>
      </c>
      <c r="EX32" s="115">
        <f>IF(Invoer!AV52="","",Invoer!AV52)</f>
        <v/>
      </c>
      <c r="EY32" s="115">
        <f>IF(Invoer!AW52="","",Invoer!AW52)</f>
        <v/>
      </c>
      <c r="EZ32" s="115">
        <f>IF(Invoer!AX52="","",Invoer!AX52)</f>
        <v/>
      </c>
      <c r="FA32" s="115">
        <f>IF(Invoer!AY52="","",Invoer!AY52)</f>
        <v/>
      </c>
      <c r="FB32" s="115">
        <f>IF(Invoer!AZ52="","",Invoer!AZ52)</f>
        <v/>
      </c>
      <c r="FC32" s="115">
        <f>IF(Invoer!BA52="","",Invoer!BA52)</f>
        <v/>
      </c>
      <c r="FD32" s="115">
        <f>IF(Invoer!BB52="","",Invoer!BB52)</f>
        <v/>
      </c>
      <c r="FE32" s="348" t="n"/>
      <c r="FF32" s="118">
        <f>IF(AND(functie_1&lt;&gt;"",lambda&lt;&gt;""),lambda*m_schip,"")</f>
        <v/>
      </c>
      <c r="FG32" s="118">
        <f>IF(functie_1&lt;&gt;"",lambda_functie,"")</f>
        <v/>
      </c>
      <c r="FH32" s="118">
        <f>IF(functie_1&lt;&gt;"",ONB_missie,"")</f>
        <v/>
      </c>
      <c r="FI32" s="115">
        <f>IF(Lijst_componenten="","", IF(OR(FH32=0,FH32=""),FI31, IF(FI31="",FH32,1-(1-FH32)*(1-FI31))))</f>
        <v/>
      </c>
      <c r="FJ32" s="118">
        <f>IF(functie_1&lt;&gt;"",ONB_aanvang,"")</f>
        <v/>
      </c>
      <c r="FK32" s="115">
        <f>IF(Lijst_componenten="","", IF(OR(FJ32=0,FJ32=""),FK31, IF(FK31="",FJ32,1-(1-FJ32)*(1-FK31))))</f>
        <v/>
      </c>
      <c r="FL32" s="107" t="n"/>
      <c r="FM32" s="118">
        <f>IF(AND(functie_2&lt;&gt;"",lambda&lt;&gt;""),lambda*m_schip,"")</f>
        <v/>
      </c>
      <c r="FN32" s="118">
        <f>IF(functie_2&lt;&gt;"",lambda_functie,"")</f>
        <v/>
      </c>
      <c r="FO32" s="118">
        <f>IF(functie_2&lt;&gt;"",ONB_missie,"")</f>
        <v/>
      </c>
      <c r="FP32" s="115">
        <f>IF(Lijst_componenten="","", IF(OR(FO32=0,FO32=""),FP31, IF(FP31="",FO32,1-(1-FO32)*(1-FP31))))</f>
        <v/>
      </c>
      <c r="FQ32" s="118">
        <f>IF(functie_2&lt;&gt;"",ONB_aanvang,"")</f>
        <v/>
      </c>
      <c r="FR32" s="115">
        <f>IF(Lijst_componenten="","", IF(OR(FQ32=0,FQ32=""),FR31, IF(FR31="",FQ32,1-(1-FQ32)*(1-FR31))))</f>
        <v/>
      </c>
      <c r="FS32" s="107" t="n"/>
      <c r="FT32" s="118">
        <f>IF(AND(functie_3&lt;&gt;"",lambda&lt;&gt;""),lambda*m_schip,"")</f>
        <v/>
      </c>
      <c r="FU32" s="118">
        <f>IF(functie_3&lt;&gt;"",lambda_functie,"")</f>
        <v/>
      </c>
      <c r="FV32" s="118">
        <f>IF(functie_3&lt;&gt;"",ONB_missie,"")</f>
        <v/>
      </c>
      <c r="FW32" s="115">
        <f>IF(Lijst_componenten="","", IF(OR(FV32=0,FV32=""),FW31, IF(FW31="",FV32,1-(1-FV32)*(1-FW31))))</f>
        <v/>
      </c>
      <c r="FX32" s="118">
        <f>IF(functie_3&lt;&gt;"",ONB_aanvang,"")</f>
        <v/>
      </c>
      <c r="FY32" s="115">
        <f>IF(Lijst_componenten="","", IF(OR(FX32=0,FX32=""),FY31, IF(FY31="",FX32,1-(1-FX32)*(1-FY31))))</f>
        <v/>
      </c>
      <c r="FZ32" s="107" t="n"/>
      <c r="GA32" s="118">
        <f>IF(AND(functie_4&lt;&gt;"",lambda&lt;&gt;""),lambda*m_schip,"")</f>
        <v/>
      </c>
      <c r="GB32" s="118">
        <f>IF(functie_4&lt;&gt;"",lambda_functie,"")</f>
        <v/>
      </c>
      <c r="GC32" s="118">
        <f>IF(functie_4&lt;&gt;"",ONB_missie,"")</f>
        <v/>
      </c>
      <c r="GD32" s="115">
        <f>IF(Lijst_componenten="","", IF(OR(GC32=0,GC32=""),GD31, IF(GD31="",GC32,1-(1-GC32)*(1-GD31))))</f>
        <v/>
      </c>
      <c r="GE32" s="118">
        <f>IF(functie_4&lt;&gt;"",ONB_aanvang,"")</f>
        <v/>
      </c>
      <c r="GF32" s="115">
        <f>IF(Lijst_componenten="","", IF(OR(GE32=0,GE32=""),GF31, IF(GF31="",GE32,1-(1-GE32)*(1-GF31))))</f>
        <v/>
      </c>
      <c r="GG32" s="107" t="n"/>
      <c r="GH32" s="118">
        <f>IF(AND(functie_5&lt;&gt;"",lambda&lt;&gt;""),lambda*m_schip,"")</f>
        <v/>
      </c>
      <c r="GI32" s="118">
        <f>IF(functie_5&lt;&gt;"",lambda_functie,"")</f>
        <v/>
      </c>
      <c r="GJ32" s="118">
        <f>IF(functie_5&lt;&gt;"",ONB_missie,"")</f>
        <v/>
      </c>
      <c r="GK32" s="115">
        <f>IF(Lijst_componenten="","", IF(OR(GJ32=0,GJ32=""),GK31, IF(GK31="",GJ32,1-(1-GJ32)*(1-GK31))))</f>
        <v/>
      </c>
      <c r="GL32" s="118">
        <f>IF(functie_5&lt;&gt;"",ONB_aanvang,"")</f>
        <v/>
      </c>
      <c r="GM32" s="115">
        <f>IF(Lijst_componenten="","", IF(OR(GL32=0,GL32=""),GM31, IF(GM31="",GL32,1-(1-GL32)*(1-GM31))))</f>
        <v/>
      </c>
      <c r="GN32" s="107" t="n"/>
      <c r="GO32" s="118">
        <f>IF(AND(functie_6&lt;&gt;"",lambda&lt;&gt;""),lambda*m_schip,"")</f>
        <v/>
      </c>
      <c r="GP32" s="118">
        <f>IF(functie_6&lt;&gt;"",lambda_functie,"")</f>
        <v/>
      </c>
      <c r="GQ32" s="118">
        <f>IF(functie_6&lt;&gt;"",ONB_missie,"")</f>
        <v/>
      </c>
      <c r="GR32" s="115">
        <f>IF(Lijst_componenten="","", IF(OR(GQ32=0,GQ32=""),GR31, IF(GR31="",GQ32,1-(1-GQ32)*(1-GR31))))</f>
        <v/>
      </c>
      <c r="GS32" s="118">
        <f>IF(functie_6&lt;&gt;"",ONB_aanvang,"")</f>
        <v/>
      </c>
      <c r="GT32" s="115">
        <f>IF(Lijst_componenten="","", IF(OR(GS32=0,GS32=""),GT31, IF(GT31="",GS32,1-(1-GS32)*(1-GT31))))</f>
        <v/>
      </c>
      <c r="GU32" s="107" t="n"/>
      <c r="GV32" s="118">
        <f>IF(AND(functie_7&lt;&gt;"",lambda&lt;&gt;""),lambda*m_schip,"")</f>
        <v/>
      </c>
      <c r="GW32" s="118">
        <f>IF(functie_7&lt;&gt;"",lambda_functie,"")</f>
        <v/>
      </c>
      <c r="GX32" s="118">
        <f>IF(functie_7&lt;&gt;"",ONB_missie,"")</f>
        <v/>
      </c>
      <c r="GY32" s="115">
        <f>IF(Lijst_componenten="","", IF(OR(GX32=0,GX32=""),GY31, IF(GY31="",GX32,1-(1-GX32)*(1-GY31))))</f>
        <v/>
      </c>
      <c r="GZ32" s="118">
        <f>IF(functie_7&lt;&gt;"",ONB_aanvang,"")</f>
        <v/>
      </c>
      <c r="HA32" s="115">
        <f>IF(Lijst_componenten="","", IF(OR(GZ32=0,GZ32=""),HA31, IF(HA31="",GZ32,1-(1-GZ32)*(1-HA31))))</f>
        <v/>
      </c>
      <c r="HB32" s="107" t="n"/>
      <c r="HC32" s="118">
        <f>IF(AND(functie_8&lt;&gt;"",lambda&lt;&gt;""),lambda*m_schip,"")</f>
        <v/>
      </c>
      <c r="HD32" s="118">
        <f>IF(functie_8&lt;&gt;"",lambda_functie,"")</f>
        <v/>
      </c>
      <c r="HE32" s="118">
        <f>IF(functie_8&lt;&gt;"",ONB_missie,"")</f>
        <v/>
      </c>
      <c r="HF32" s="115">
        <f>IF(Lijst_componenten="","", IF(OR(HE32=0,HE32=""),HF31, IF(HF31="",HE32,1-(1-HE32)*(1-HF31))))</f>
        <v/>
      </c>
      <c r="HG32" s="118">
        <f>IF(functie_8&lt;&gt;"",ONB_aanvang,"")</f>
        <v/>
      </c>
      <c r="HH32" s="115">
        <f>IF(Lijst_componenten="","", IF(OR(HG32=0,HG32=""),HH31, IF(HH31="",HG32,1-(1-HG32)*(1-HH31))))</f>
        <v/>
      </c>
      <c r="HI32" s="107" t="n"/>
      <c r="HJ32" s="118">
        <f>IF(AND(functie_9&lt;&gt;"",lambda&lt;&gt;""),lambda*m_schip,"")</f>
        <v/>
      </c>
      <c r="HK32" s="118">
        <f>IF(functie_9&lt;&gt;"",lambda_functie,"")</f>
        <v/>
      </c>
      <c r="HL32" s="118">
        <f>IF(functie_9&lt;&gt;"",ONB_missie,"")</f>
        <v/>
      </c>
      <c r="HM32" s="115">
        <f>IF(Lijst_componenten="","", IF(OR(HL32=0,HL32=""),HM31, IF(HM31="",HL32,1-(1-HL32)*(1-HM31))))</f>
        <v/>
      </c>
      <c r="HN32" s="118">
        <f>IF(functie_9&lt;&gt;"",ONB_aanvang,"")</f>
        <v/>
      </c>
      <c r="HO32" s="115">
        <f>IF(Lijst_componenten="","", IF(OR(HN32=0,HN32=""),HO31, IF(HO31="",HN32,1-(1-HN32)*(1-HO31))))</f>
        <v/>
      </c>
      <c r="HP32" s="107" t="n"/>
      <c r="HQ32" s="118">
        <f>IF(AND(functie_10&lt;&gt;"",lambda&lt;&gt;""),lambda*m_schip,"")</f>
        <v/>
      </c>
      <c r="HR32" s="118">
        <f>IF(functie_10&lt;&gt;"",lambda_functie,"")</f>
        <v/>
      </c>
      <c r="HS32" s="118">
        <f>IF(functie_10&lt;&gt;"",ONB_missie,"")</f>
        <v/>
      </c>
      <c r="HT32" s="115">
        <f>IF(Lijst_componenten="","", IF(OR(HS32=0,HS32=""),HT31, IF(HT31="",HS32,1-(1-HS32)*(1-HT31))))</f>
        <v/>
      </c>
      <c r="HU32" s="118">
        <f>IF(functie_10&lt;&gt;"",ONB_aanvang,"")</f>
        <v/>
      </c>
      <c r="HV32" s="115">
        <f>IF(Lijst_componenten="","", IF(OR(HU32=0,HU32=""),HV31, IF(HV31="",HU32,1-(1-HU32)*(1-HV31))))</f>
        <v/>
      </c>
      <c r="HW32" s="353" t="n"/>
      <c r="HX32" s="113" t="n"/>
      <c r="HY32" s="353" t="n"/>
      <c r="HZ32" s="353" t="n"/>
      <c r="IA32" s="353" t="n"/>
      <c r="IB32" s="353" t="n"/>
      <c r="IC32" s="353" t="n"/>
      <c r="ID32" s="353" t="n"/>
      <c r="IE32" s="353" t="n"/>
      <c r="IF32" s="353" t="n"/>
      <c r="IG32" s="353" t="n"/>
      <c r="IH32" s="353" t="n"/>
      <c r="II32" s="353" t="n"/>
      <c r="IJ32" s="353" t="n"/>
      <c r="IK32" s="353" t="n"/>
      <c r="IL32" s="353" t="n"/>
      <c r="IM32" s="353" t="n"/>
      <c r="IN32" s="353" t="n"/>
      <c r="IO32" s="353" t="n"/>
      <c r="IP32" s="353" t="n"/>
      <c r="IQ32" s="353" t="n"/>
      <c r="IR32" s="353" t="n"/>
      <c r="IS32" s="353" t="n"/>
      <c r="IT32" s="353" t="n"/>
      <c r="IU32" s="353" t="n"/>
      <c r="IV32" s="353" t="n"/>
    </row>
    <row r="33" ht="12" customFormat="1" customHeight="1" s="353">
      <c r="A33" s="99" t="n">
        <v>16</v>
      </c>
      <c r="B33" s="649">
        <f>N(Invoer!B53)</f>
        <v/>
      </c>
      <c r="C33" s="649">
        <f>N(Invoer!C53)</f>
        <v/>
      </c>
      <c r="D33" s="649">
        <f>N(Invoer!D53)</f>
        <v/>
      </c>
      <c r="E33" s="649">
        <f>N(Invoer!E53)</f>
        <v/>
      </c>
      <c r="F33" s="649">
        <f>N(Invoer!F53)</f>
        <v/>
      </c>
      <c r="G33" s="649">
        <f>N(Invoer!G53)</f>
        <v/>
      </c>
      <c r="H33" s="649">
        <f>N(Invoer!H53)</f>
        <v/>
      </c>
      <c r="I33" s="649">
        <f>N(Invoer!I53)</f>
        <v/>
      </c>
      <c r="J33" s="649">
        <f>N(Invoer!J53)</f>
        <v/>
      </c>
      <c r="K33" s="649">
        <f>N(Invoer!K53)</f>
        <v/>
      </c>
      <c r="L33" s="58">
        <f>IF(Invoer!L53="","",Invoer!L53)</f>
        <v/>
      </c>
      <c r="M33" s="650">
        <f>N(Invoer!M53)</f>
        <v/>
      </c>
      <c r="N33" s="58">
        <f>IF(Invoer!N53="","",Invoer!N53)</f>
        <v/>
      </c>
      <c r="O33" s="119" t="n"/>
      <c r="P33" s="96">
        <f>IF(Invoer!BK53="","",Invoer!BK53)</f>
        <v/>
      </c>
      <c r="Q33" s="96">
        <f>IF(Invoer!BL53="","",Invoer!BL53)</f>
        <v/>
      </c>
      <c r="R33" s="96">
        <f>IF(Invoer!BM53="","",Invoer!BM53)</f>
        <v/>
      </c>
      <c r="S33" s="96">
        <f>IF(Invoer!BN53="","",Invoer!BN53)</f>
        <v/>
      </c>
      <c r="T33" s="96">
        <f>IF(Invoer!BO53="","",Invoer!BO53)</f>
        <v/>
      </c>
      <c r="U33" s="96">
        <f>IF(Invoer!BP53="","",Invoer!BP53)</f>
        <v/>
      </c>
      <c r="V33" s="60" t="n"/>
      <c r="W33" s="115">
        <f>IF(Invoer!BQ53="","",Invoer!BQ53)</f>
        <v/>
      </c>
      <c r="X33" s="115">
        <f>IF(Invoer!BR53="","",Invoer!BR53)</f>
        <v/>
      </c>
      <c r="Y33" s="60" t="n"/>
      <c r="Z33" s="115">
        <f>IF(Invoer!BS53="","",Invoer!BS53)</f>
        <v/>
      </c>
      <c r="AA33" s="115">
        <f>IF(Invoer!BT53="","",Invoer!BT53)</f>
        <v/>
      </c>
      <c r="AB33" s="115">
        <f>IF(Invoer!P53="","",Invoer!P53)</f>
        <v/>
      </c>
      <c r="AC33" s="60" t="n"/>
      <c r="AD33" s="34">
        <f>IF(Invoer!Q53="","",Invoer!Q53)</f>
        <v/>
      </c>
      <c r="AE33" s="110" t="n"/>
      <c r="AF33" s="96">
        <f>IF(Invoer!R53="","",Invoer!R53)</f>
        <v/>
      </c>
      <c r="AG33" s="107" t="n"/>
      <c r="AH33" s="107" t="n"/>
      <c r="AI33" s="658">
        <f>IF(N(Invoer!S53)=0,"",Invoer!S53)</f>
        <v/>
      </c>
      <c r="AJ33" s="659">
        <f>IF(Invoer!T53="","",Invoer!T53)</f>
        <v/>
      </c>
      <c r="AK33" s="365" t="n"/>
      <c r="AL33" s="659">
        <f>IF(Invoer!U53="","",Invoer!U53)</f>
        <v/>
      </c>
      <c r="AM33" s="659">
        <f>IF(Invoer!V53="","",Invoer!V53)</f>
        <v/>
      </c>
      <c r="AN33" s="659">
        <f>IF(Invoer!W53="","",Invoer!W53)</f>
        <v/>
      </c>
      <c r="AO33" s="368" t="n"/>
      <c r="AP33" s="660">
        <f>N(Invoer!X53)</f>
        <v/>
      </c>
      <c r="AQ33" s="660">
        <f>N(Invoer!Y53)</f>
        <v/>
      </c>
      <c r="AR33" s="660">
        <f>N(Invoer!Z53)</f>
        <v/>
      </c>
      <c r="AS33" s="660">
        <f>N(Invoer!AA53)</f>
        <v/>
      </c>
      <c r="AT33" s="660">
        <f>N(Invoer!AB53)</f>
        <v/>
      </c>
      <c r="AU33" s="660">
        <f>N(Invoer!AC53)</f>
        <v/>
      </c>
      <c r="AV33" s="368" t="n"/>
      <c r="AW33" s="661">
        <f>N(Invoer!AD53)</f>
        <v/>
      </c>
      <c r="AX33" s="368" t="n"/>
      <c r="AY33" s="541">
        <f>IF(Periodiciteit&lt;&gt;"",(uurtarief_wd*(IF(ISNUMBER(tijd_wd),tijd_wd,0))+uurtarief_td*(IF(ISNUMBER(tijd_td),tijd_td,0))+uurtarief_sb*(IF(ISNUMBER(tijd_sb),tijd_sb,0))+uurtarief_rw*(IF(ISNUMBER(tijd_rw),tijd_rw,0))+uurtarief_d*(IF(ISNUMBER(tijd_d),tijd_d,0))+uurtarief_3*(IF(ISNUMBER(tijd_3),tijd_3,0)) +(IF(ISNUMBER(f_vast),f_vast,0)))*(IF(Perio_int="j",1,IF(Perio_int="m",12,IF(Perio_int="w",52,IF(Perio_int="d",365,0)))))*Periodiciteit*aantal_componenten,"")</f>
        <v/>
      </c>
      <c r="AZ33" s="368" t="n"/>
      <c r="BA33" s="542">
        <f>IF(N(Invoer!AE53)=0,"",Invoer!AE53)</f>
        <v/>
      </c>
      <c r="BB33" s="368" t="n"/>
      <c r="BC33" s="542">
        <f>IF(AND(Periodiciteit&lt;&gt;"",Kosten_res_pk&lt;&gt;""), Kosten_res_pk*(IF(Perio_int="j",1,IF(Perio_int="m",12,IF(Perio_int="w",52,IF(Perio_int="d",365,0)))))*Periodiciteit*aantal_componenten,"")</f>
        <v/>
      </c>
      <c r="BD33" s="368" t="n"/>
      <c r="BE33" s="370" t="n"/>
      <c r="BF33" s="368" t="n"/>
      <c r="BG33" s="542">
        <f>IF(Kosten_res_trade &lt;&gt;"", Kosten_res_trade, Kosten_res_jaar )</f>
        <v/>
      </c>
      <c r="BH33" s="368" t="n"/>
      <c r="BI33" s="543">
        <f>IF(N(Invoer!AF53)=0,"",Invoer!AF53)</f>
        <v/>
      </c>
      <c r="BJ33" s="368" t="n"/>
      <c r="BK33" s="543">
        <f>IF(AND(Periodiciteit&lt;&gt;"",Gevolgkosten&lt;&gt;""), Gevolgkosten*(IF(Perio_int="j",1,IF(Perio_int="m",12,IF(Perio_int="w",52,IF(Perio_int="d",365,0)))))*Periodiciteit*aantal_componenten,"")</f>
        <v/>
      </c>
      <c r="BL33" s="368" t="n"/>
      <c r="BM33" s="660">
        <f>N(Invoer!AJ53)</f>
        <v/>
      </c>
      <c r="BN33" s="662">
        <f>N(Invoer!AK53)</f>
        <v/>
      </c>
      <c r="BO33" s="662">
        <f>N(Invoer!AL53)</f>
        <v/>
      </c>
      <c r="BP33" s="662">
        <f>N(Invoer!AM53)</f>
        <v/>
      </c>
      <c r="BQ33" s="368" t="n"/>
      <c r="BR33" s="662">
        <f>N(Invoer!AN53)</f>
        <v/>
      </c>
      <c r="BS33" s="543">
        <f>IF(N(Invoer!AO53)=0,"",Invoer!AO53)</f>
        <v/>
      </c>
      <c r="BT33" s="662">
        <f>N(Invoer!AP53)</f>
        <v/>
      </c>
      <c r="BU33" s="368" t="n"/>
      <c r="BV33" s="662">
        <f>N(Invoer!AQ53)</f>
        <v/>
      </c>
      <c r="BW33" s="663">
        <f>N(Invoer!AR53)</f>
        <v/>
      </c>
      <c r="BX33" s="480" t="n"/>
      <c r="BY33" s="477" t="n"/>
      <c r="BZ33" s="107" t="n"/>
      <c r="CA33" s="64">
        <f>IF(N(Invoer!AG53)=0,"",Invoer!AG53)</f>
        <v/>
      </c>
      <c r="CB33" s="657">
        <f>N(Invoer!AH53)</f>
        <v/>
      </c>
      <c r="CC33" s="657">
        <f>N(Invoer!AI53)</f>
        <v/>
      </c>
      <c r="CD33" s="64">
        <f>IF( OR(CO_rep&lt;&gt;"",CO_verv&lt;&gt;""),IF(lambda_fabrikant&lt;&gt;"",IF(Uitvoeren_missie="N", (1-EXP(-aantal_componenten*lambda_fabrikant*Missieduur*p_gebruik_missie))/Missieduur/aantal_componenten,
IF(doorlooptijd_missie_i &lt;&gt; 0,((aantal_componenten*lambda_fabrikant*(1/doorlooptijd_missie_i)/(aantal_componenten*lambda_fabrikant+1/doorlooptijd_missie_i))*Missieduur*p_gebruik_missie+(aantal_componenten*lambda_fabrikant)^2/(aantal_componenten*lambda_fabrikant+1/doorlooptijd_missie_i)^2*(1-EXP(-(aantal_componenten*lambda_fabrikant+1/doorlooptijd_missie_i)*Missieduur*p_gebruik_missie)))/Missieduur/aantal_componenten,lambda_fabrikant*p_gebruik_missie)),""),"")</f>
        <v/>
      </c>
      <c r="CE33" s="64">
        <f>IF( OR(CO_rep&lt;&gt;"",CO_verv&lt;&gt;""),IF(lambda_fabrikant&lt;&gt;"",IF(uitvoeren_GO = "J", (1-EXP(-(aantal_componenten*lambda_fabrikant*p_gebruik_wal* interval_groot_onderhoud/8760*Missies_per_jaar*walduur)))/ (interval_groot_onderhoud/8760*Missies_per_jaar*walduur) / aantal_componenten,IF(doorlooptijd_wal_i &lt;&gt; 0,((aantal_componenten*lambda_fabrikant*(1/doorlooptijd_wal_i)/(aantal_componenten*lambda_fabrikant+1/doorlooptijd_wal_i))*walduur*p_gebruik_wal+(aantal_componenten*lambda_fabrikant)^2/(aantal_componenten*lambda_fabrikant+1/doorlooptijd_wal_i)^2*(1-EXP(-(aantal_componenten*lambda_fabrikant+1/doorlooptijd_wal_i)*walduur*p_gebruik_wal)))/walduur/aantal_componenten,lambda_fabrikant*p_gebruik_wal)),""),"")</f>
        <v/>
      </c>
      <c r="CF33" s="64">
        <f>IF( OR(CO_rep&lt;&gt;"",CO_verv&lt;&gt;""),
IF(OR(lambda_missie_g&lt;&gt;"",lambda_wal_g&lt;&gt;""), "", IF(Perio_int="j",1/8760, IF(Perio_int="m",12/8760, IF(Perio_int="w",52/8760, IF(Perio_int="d",365/8760,"error") ) ) )*Periodiciteit),"")</f>
        <v/>
      </c>
      <c r="CG33" s="66">
        <f>IF(OR(CO_rep&lt;&gt;"",CO_verv&lt;&gt;""),1,"")</f>
        <v/>
      </c>
      <c r="CH33" s="64">
        <f>IF( OR(CO_rep&lt;&gt;"",CO_verv&lt;&gt;""),IF(lambda_fabrikant="",lambda_kalendertijd*missiepercentage*8760/(Missies_per_jaar*Missieduur),""),"")</f>
        <v/>
      </c>
      <c r="CI33" s="64">
        <f>IF( OR(CO_rep&lt;&gt;"",CO_verv&lt;&gt;""),IF(lambda_fabrikant="",lambda_kalendertijd*(1-missiepercentage)*8760/(Missies_per_jaar*walduur),""),"")</f>
        <v/>
      </c>
      <c r="CJ33" s="64">
        <f>IF( OR(CO_rep&lt;&gt;"",CO_verv&lt;&gt;""),
IF(OR(lambda_missie_g&lt;&gt;"",lambda_wal_g&lt;&gt;""), (lambda_missie_g*Missieduur + lambda_wal_g*walduur)/8760*Missies_per_jaar, lambda_kalendertijd),"")</f>
        <v/>
      </c>
      <c r="CK33" s="64">
        <f>IF(lambda&lt;&gt;"",m_schip*lambda,"")</f>
        <v/>
      </c>
      <c r="CL33" s="65">
        <f>IF(OR(CO_rep&lt;&gt;"",CO_verv&lt;&gt;""),IF(Redundantie = "J","?",1),"")</f>
        <v/>
      </c>
      <c r="CM33" s="64">
        <f>IF(lambda&lt;&gt;"",IF(Redundantie="J",IF(lambda_missie_g&lt;&gt;"",lambda_missie_g*redundantie_factor,lambda_missie*redundantie_factor),IF(lambda_missie_g&lt;&gt;"",lambda_missie_g*m_schip,lambda_missie*m_schip)),"")</f>
        <v/>
      </c>
      <c r="CN33" s="64">
        <f>IF(lambda&lt;&gt;"",lambda_functie*Missieduur*Missies_per_jaar/8760,"")</f>
        <v/>
      </c>
      <c r="CO33" s="64">
        <f>IF(lambda&lt;&gt;"",IF(Redundantie="J",IF(lambda_wal_g&lt;&gt;"",lambda_wal_g*redundantie_factor,lambda_wal*redundantie_factor),IF(lambda_wal_g&lt;&gt;"",lambda_wal_g*m_schip,lambda_wal*m_schip)),"")</f>
        <v/>
      </c>
      <c r="CP33" s="64">
        <f>IF(lambda&lt;&gt;"",lambda_functie_wal*walduur*Missies_per_jaar/8760,"")</f>
        <v/>
      </c>
      <c r="CQ33" s="107" t="n"/>
      <c r="CR33" s="115">
        <f>IF(OR(CO_verv&lt;&gt;"",CO_rep&lt;&gt;""),aantal_componenten,"")</f>
        <v/>
      </c>
      <c r="CS33" s="66">
        <f>IF( OR(CO_rep&lt;&gt;"",CO_verv&lt;&gt;""),IF(Aantal_res_boord=0,1,IF(lambda_missie_g&lt;&gt;"",1-POISSON(Aantal_res_boord-1,m_schip*lambda_missie_g*Missieduur,TRUE),1-POISSON(Aantal_res_boord-1,m_schip*lambda_missie*Missieduur,TRUE))),"")</f>
        <v/>
      </c>
      <c r="CT33" s="107" t="n"/>
      <c r="CU33" s="115">
        <f>IF(OR(CO_verv&lt;&gt;"",CO_rep&lt;&gt;""),Aantal_fregatten * m_schip,"")</f>
        <v/>
      </c>
      <c r="CV33" s="65">
        <f>IF(AND(lambda&gt;0,Aantal_ini_wal&gt;=0,Aantal_res_wal&lt;&gt;""),IF(Aantal_ini_wal&gt;Aantal_res_wal,(Aantal_ini_wal-Aantal_res_wal)/(m_vloot*lambda*8760),0),"")</f>
        <v/>
      </c>
      <c r="CW33" s="65">
        <f>IF(AND(lambda&gt;0,Aantal_max_wal&gt;=0,Aantal_res_wal&lt;&gt;""),IF(Aantal_max_wal&gt;Aantal_res_wal,(Aantal_max_wal-Aantal_res_wal)/(m_vloot*lambda*8760),0),"")</f>
        <v/>
      </c>
      <c r="CX33" s="68">
        <f>IF(AND(ini_periode&lt;&gt;"",bestel_interval&lt;&gt;"",besteltijd&lt;&gt;""),IF(ini_periode&gt;=Looptijd,0,
IF(bestel_interval&gt;=(Looptijd-ini_periode),IF(besteltijd&lt;(Looptijd-ini_periode),besteltijd/8760/Looptijd,(Looptijd-ini_periode)/Looptijd),
IF(((Looptijd-ini_periode)-(INT((Looptijd-ini_periode)/(besteltijd/8760+bestel_interval))))&gt;=besteltijd/8760,(1+INT((Looptijd-ini_periode)/(besteltijd/8760+bestel_interval)))*(besteltijd/8760)/Looptijd,(INT((Looptijd-ini_periode)/(besteltijd/8760+bestel_interval))*(besteltijd/8760)+((Looptijd-ini_periode)-(INT((Looptijd-ini_periode)/(besteltijd/8760+bestel_interval)))*(besteltijd/8760+bestel_interval)))/Looptijd))),"")</f>
        <v/>
      </c>
      <c r="CY33" s="66">
        <f>IF( OR(CO_rep&lt;&gt;"",CO_verv&lt;&gt;""),
IF( Aantal_res_wal+(Aantal_fregatten-1)*Aantal_res_boord=0, 1*IF(percentage_looptijd_inbestelling&lt;&gt;"",percentage_looptijd_inbestelling,1),
(1-POISSON(Aantal_res_wal-1+(Aantal_fregatten-1)*Aantal_res_boord, m_vloot*lambda*besteltijd,TRUE))*IF(percentage_looptijd_inbestelling&lt;&gt;"",percentage_looptijd_inbestelling,1)),"")</f>
        <v/>
      </c>
      <c r="CZ33" s="66">
        <f>IF( OR(CO_rep&lt;&gt;"",CO_verv&lt;&gt;""),IF( Aantal_res_wal=0,1, 1-POISSON(Aantal_res_boord+Aantal_res_wal-1, m_vloot*lambda*besteltijd,TRUE) ),"")</f>
        <v/>
      </c>
      <c r="DA33" s="107" t="n"/>
      <c r="DB33" s="115">
        <f>IF(OR(Uitvoeren_missie&lt;&gt;"J",uitvoeren_bedrijf="J",uitvoeren_GO="J"), "",
IF(TAO_revisie&lt;&gt;"", TAO_rev_verv_tijd,
IF(TAO_vervanging&lt;&gt;"", TAO_rev_verv_tijd,
IF(PO_doorlooptijd&lt;&gt;0, PO_doorlooptijd,"" ))))</f>
        <v/>
      </c>
      <c r="DC33" s="107" t="n"/>
      <c r="DD33" s="115">
        <f>IF(AND(CO_rep&lt;&gt;"", Uitvoeren_missie="N"), Missieduur,
IF(AND(CO_rep&lt;&gt;"", Uitvoeren_missie="J"), CO_zoektijd + CO_rep_verv_tijd,""))</f>
        <v/>
      </c>
      <c r="DE33" s="115">
        <f>IF(AND(CO_verv&lt;&gt;"", Uitvoeren_missie="N"), Missieduur,
IF(AND(CO_verv&lt;&gt;"", Uitvoeren_missie="J"), CO_zoektijd + CO_rep_verv_tijd,""))</f>
        <v/>
      </c>
      <c r="DF33" s="115">
        <f>IF(AND(CO_verv&lt;&gt;"", Uitvoeren_missie="N"), Missieduur,
IF(AND(CO_verv&lt;&gt;"", Uitvoeren_missie="J"), wachttijd_invlieg+CO_zoektijd + CO_rep_verv_tijd,""))</f>
        <v/>
      </c>
      <c r="DG33" s="115">
        <f>IF(AND(CO_verv&lt;&gt;"", Uitvoeren_missie="N"), Missieduur,
IF(AND(CO_verv&lt;&gt;"", Uitvoeren_missie="J"), besteltijd + wachttijd_invlieg + CO_zoektijd + CO_rep_verv_tijd,""))</f>
        <v/>
      </c>
      <c r="DH33" s="115">
        <f> IF(AND(doorlooptijd_missie_met&lt;&gt;"",CO_verv&lt;&gt;""), P_op_boord* ( P_op_vloot*doorlooptijd_missie_zonder + (1-P_op_vloot)*doorlooptijd_invlieg ) + (1-P_op_boord)* doorlooptijd_missie_met, "")</f>
        <v/>
      </c>
      <c r="DI33" s="115">
        <f>IF(CO_rep&lt;&gt;"",doorlooptijd_missie_rep,IF(AND(CO_verv&lt;&gt;"",Aantal_res_boord&lt;&gt;"",Aantal_res_boord&lt;&gt;0),doorlooptijd_missie_met,IF(AND(CO_verv&lt;&gt;"",Aantal_max_wal&lt;&gt;"",Aantal_max_wal&lt;&gt;0),doorlooptijd_invlieg,doorlooptijd_missie_zonder)))</f>
        <v/>
      </c>
      <c r="DJ33" s="115">
        <f>IF(doorlooptijd_missie_verv&lt;&gt;"", doorlooptijd_missie_verv, IF(doorlooptijd_missie_rep&lt;&gt;"", doorlooptijd_missie_rep,""))</f>
        <v/>
      </c>
      <c r="DK33" s="107" t="n"/>
      <c r="DL33" s="115">
        <f> IF(CO_rep&lt;&gt;"", CO_zoektijd + CO_rep_verv_tijd,"")</f>
        <v/>
      </c>
      <c r="DM33" s="115">
        <f> IF(AND(CO_verv&lt;&gt;"",CO_rep=""), wachttijd_wal+CO_zoektijd + CO_rep_verv_tijd,"")</f>
        <v/>
      </c>
      <c r="DN33" s="115">
        <f> IF(AND(CO_verv&lt;&gt;"",CO_rep=""), wachttijd_invlieg+CO_zoektijd + CO_rep_verv_tijd,"")</f>
        <v/>
      </c>
      <c r="DO33" s="115">
        <f>IF(AND(CO_verv&lt;&gt;"",CO_rep=""), besteltijd + wachttijd_wal + CO_zoektijd + CO_rep_verv_tijd,"")</f>
        <v/>
      </c>
      <c r="DP33" s="69">
        <f> IF(AND(doorlooptijd_van_wal&lt;&gt;"",CO_verv&lt;&gt;""), P_op_vloot*doorlooptijd_wal_zonder +
(1-P_op_vloot)*(P_op_wal*Doorlooptijd_transport+ (1-P_op_wal)*doorlooptijd_van_wal ), "")</f>
        <v/>
      </c>
      <c r="DQ33" s="115">
        <f>IF(CO_rep&lt;&gt;"",doorlooptijd_wal_rep,IF(AND(CO_verv&lt;&gt;"",AND(Aantal_res_boord&lt;&gt;"",Aantal_res_boord&lt;&gt;0)),doorlooptijd_van_wal,IF(AND(CO_verv&lt;&gt;"",AND(Aantal_max_wal&lt;&gt;"",Aantal_max_wal&lt;&gt;0)),Doorlooptijd_transport,doorlooptijd_wal_zonder)))</f>
        <v/>
      </c>
      <c r="DR33" s="115">
        <f>IF(doorlooptijd_wal_verv&lt;&gt;"", doorlooptijd_wal_verv, IF(doorlooptijd_wal_rep&lt;&gt;"", doorlooptijd_wal_rep,""))</f>
        <v/>
      </c>
      <c r="DS33" s="107" t="n"/>
      <c r="DT33" s="64">
        <f>IF(OR(CO_verv&lt;&gt;"",CO_rep&lt;&gt;""),IF(lambda_functie&lt;&gt;"",ONB_missie_tussenberekening_1 + ONB_missie_tussenberekening_2,""),"")</f>
        <v/>
      </c>
      <c r="DU33" s="64">
        <f>IF(OR(CO_rep&lt;&gt;"",CO_verv&lt;&gt;""),IF(lambda_functie&lt;&gt;"",IF(Uitvoeren_missie="N",1-(1-EXP(-lambda_functie*Missieduur))/(lambda_functie*Missieduur),IF(CO_verv&lt;&gt;"",
(1-P_op_boord)*IF(doorlooptijd_missie_met&lt;&gt;0,lambda_functie/(lambda_functie+(1/doorlooptijd_missie_met))-lambda_functie/((lambda_functie+(1/doorlooptijd_missie_met))^2*Missieduur)*(1-EXP(-(lambda_functie+(1/doorlooptijd_missie_met))*Missieduur)),0)+P_op_boord*((1-P_op_vloot)*IF(doorlooptijd_invlieg&lt;&gt;0,lambda_functie/(lambda_functie+(1 /doorlooptijd_invlieg))-lambda_functie/((lambda_functie+(1/doorlooptijd_invlieg))^2*Missieduur)*(1-EXP(-(lambda_functie+(1/doorlooptijd_invlieg))*Missieduur)),0)+P_op_vloot*IF(doorlooptijd_missie_zonder&lt;&gt;0,lambda_functie/(lambda_functie+(1/doorlooptijd_missie_zonder))-lambda_functie/((lambda_functie+(1/doorlooptijd_missie_zonder))^2*Missieduur)*(1-EXP(-(lambda_functie+(1/doorlooptijd_missie_zonder))*Missieduur)),0)),0)),0),"")</f>
        <v/>
      </c>
      <c r="DV33" s="64">
        <f>IF(OR(CO_rep&lt;&gt;"",CO_verv&lt;&gt;""),IF(lambda_functie&lt;&gt;"",IF(CO_rep&lt;&gt;"",
IF(doorlooptijd_missie_rep&lt;&gt;0,lambda_functie/(lambda_functie+(1/doorlooptijd_missie_rep))-lambda_functie/((lambda_functie+(1/doorlooptijd_missie_rep))^2*Missieduur)*(1-EXP(-(lambda_functie+(1/doorlooptijd_missie_rep))*Missieduur)),0),0)),"")</f>
        <v/>
      </c>
      <c r="DW33" s="66">
        <f>IF(ONB_missie="","",IF(tot_ONB_missie&lt;&gt;0,ONB_missie/tot_ONB_missie,0))</f>
        <v/>
      </c>
      <c r="DX33" s="115">
        <f>IF(Lijst_componenten="","", IF(OR(DT33=0,DT33=""),DX32, IF(DX32="",DT33,1-(1-DT33)*(1-DX32))))</f>
        <v/>
      </c>
      <c r="DY33" s="107" t="n"/>
      <c r="DZ33" s="96">
        <f>IF(OR(CO_rep&lt;&gt;"",CO_verv&lt;&gt;""),IF(uitvoeren_GO="J",ONB_tussenberekening_1,IF(CO_rep&lt;&gt;"",ONB_tussenberekening_2,ONB_tussenberekening_3+ONB_tussenberekening_4+ONB_tussenberekening_5)),"")</f>
        <v/>
      </c>
      <c r="EA33" s="96">
        <f>IF(OR(CO_rep&lt;&gt;"",CO_verv&lt;&gt;""),IF(AND(OR(lambda_functie_kalendertijd&lt;&gt;"",lambda_functie_wal_kalendertijd&lt;&gt;""),uitvoeren_GO="J"),
1-(1-EXP(-(lambda_functie_kalendertijd+lambda_functie_wal_kalendertijd)*interval_groot_onderhoud))
/((lambda_functie_kalendertijd+lambda_functie_wal_kalendertijd)*interval_groot_onderhoud),0),"")</f>
        <v/>
      </c>
      <c r="EB33" s="96">
        <f>IF(OR(CO_rep&lt;&gt;"",CO_verv&lt;&gt;""),IF(AND(CO_rep &lt;&gt;"",OR(doorlooptijd_missie_rep&gt;=walduur,doorlooptijd_wal_rep &gt;= walduur)),IF(doorlooptijd_missie_rep &gt;= walduur,lambda_functie_kalendertijd / (lambda_functie_kalendertijd + 1/doorlooptijd_missie_rep),0)
+ IF(doorlooptijd_wal_rep &gt;= walduur,lambda_functie_wal_kalendertijd / (lambda_functie_wal_kalendertijd + 1/doorlooptijd_wal_rep),0),IF(CO_rep &lt;&gt; "",(1 -EXP(-(lambda_functie_wal_kalendertijd + 1 / doorlooptijd_wal_rep)*walduur))
* lambda_functie_wal_kalendertijd / (lambda_functie_wal_kalendertijd + 1/ doorlooptijd_wal_rep),0)),"")</f>
        <v/>
      </c>
      <c r="EC33" s="96">
        <f>IF(OR(CO_rep&lt;&gt;"",CO_verv&lt;&gt;""),IF(CO_verv&lt;&gt;"",
P_op_boord* ( P_op_vloot*IF(doorlooptijd_missie_zonder&gt;=walduur, lambda_functie_kalendertijd / (lambda_functie_kalendertijd + 1/doorlooptijd_missie_zonder),0)+ (1- P_op_vloot)*IF(doorlooptijd_invlieg&gt;=walduur, lambda_functie_kalendertijd / (lambda_functie_kalendertijd + 1 /doorlooptijd_invlieg),0) )
+ (1- P_op_boord) * IF(doorlooptijd_missie_met&gt;=walduur,lambda_functie_kalendertijd / (lambda_functie_kalendertijd + 1 / doorlooptijd_missie_met),0),0),"")</f>
        <v/>
      </c>
      <c r="ED33" s="96">
        <f>IF(OR(CO_rep&lt;&gt;"",CO_verv&lt;&gt;""),IF(CO_verv &lt;&gt;"",
(1-P_op_vloot)*((1 - P_op_wal)*IF(doorlooptijd_van_wal&gt;=walduur,lambda_functie_wal_kalendertijd/(lambda_functie_wal_kalendertijd+ 1/ doorlooptijd_van_wal),0)
+ P_op_wal*IF(Doorlooptijd_transport&gt;=walduur,lambda_functie_wal_kalendertijd / (lambda_functie_wal_kalendertijd +1/Doorlooptijd_transport),0) )+ P_op_vloot*IF(doorlooptijd_wal_zonder&gt;=walduur, lambda_functie_wal_kalendertijd / (lambda_functie_wal_kalendertijd + 1/ doorlooptijd_wal_zonder),0),0),"")</f>
        <v/>
      </c>
      <c r="EE33" s="96">
        <f>IF(OR(CO_rep&lt;&gt;"",CO_verv&lt;&gt;""),IF(CO_verv &lt;&gt;"",
(1-P_op_vloot)* ( (1- P_op_wal)* (IF(AND(doorlooptijd_van_wal&lt;&gt;0,doorlooptijd_van_wal&lt;walduur),(1 -EXP(-(lambda_functie_wal_kalendertijd + 1 / doorlooptijd_van_wal)*walduur))
* lambda_functie_wal_kalendertijd / (lambda_functie_wal_kalendertijd + 1/ doorlooptijd_van_wal),0))
+ P_op_wal*(IF(AND(Doorlooptijd_transport&lt;&gt;0,Doorlooptijd_transport&lt;walduur),(1 -EXP(-(lambda_functie_wal_kalendertijd + 1 / Doorlooptijd_transport)*walduur))
* lambda_functie_wal_kalendertijd /(lambda_functie_wal_kalendertijd + 1/ Doorlooptijd_transport),0)))
+ P_op_vloot*(IF(AND(doorlooptijd_wal_zonder&lt;&gt;0,doorlooptijd_wal_zonder&lt;walduur),(1 -EXP(-(lambda_functie_wal_kalendertijd + 1 / doorlooptijd_wal_zonder)*walduur))
* lambda_functie_wal_kalendertijd / (lambda_functie_wal_kalendertijd + 1/ doorlooptijd_wal_zonder),0)),0),"")</f>
        <v/>
      </c>
      <c r="EF33" s="66">
        <f>IF(ONB_aanvang="","",IF(tot_ONB_aanvang&lt;&gt;0,ONB_aanvang/tot_ONB_aanvang,0))</f>
        <v/>
      </c>
      <c r="EG33" s="115">
        <f>IF(Lijst_componenten="","", IF(OR(DZ33=0,DZ33=""),EG32, IF(EG32="",DZ33,1-(1-DZ33)*(1-EG32))))</f>
        <v/>
      </c>
      <c r="EH33" s="107" t="n"/>
      <c r="EI33" s="40">
        <f>IF(Invoer!BE53="","",Invoer!BE53)</f>
        <v/>
      </c>
      <c r="EJ33" s="71" t="n"/>
      <c r="EK33" s="120" t="n"/>
      <c r="EL33" s="119" t="n"/>
      <c r="EM33" s="107" t="n"/>
      <c r="EN33" s="72" t="n"/>
      <c r="EO33" s="107" t="n"/>
      <c r="EP33" s="107" t="n"/>
      <c r="EQ33" s="119" t="n"/>
      <c r="ER33" s="120" t="n"/>
      <c r="ES33" s="119" t="n"/>
      <c r="ET33" s="119" t="n"/>
      <c r="EU33" s="115">
        <f>IF(Invoer!AS53="","",Invoer!AS53)</f>
        <v/>
      </c>
      <c r="EV33" s="115">
        <f>IF(Invoer!AT53="","",Invoer!AT53)</f>
        <v/>
      </c>
      <c r="EW33" s="115">
        <f>IF(Invoer!AU53="","",Invoer!AU53)</f>
        <v/>
      </c>
      <c r="EX33" s="115">
        <f>IF(Invoer!AV53="","",Invoer!AV53)</f>
        <v/>
      </c>
      <c r="EY33" s="115">
        <f>IF(Invoer!AW53="","",Invoer!AW53)</f>
        <v/>
      </c>
      <c r="EZ33" s="115">
        <f>IF(Invoer!AX53="","",Invoer!AX53)</f>
        <v/>
      </c>
      <c r="FA33" s="115">
        <f>IF(Invoer!AY53="","",Invoer!AY53)</f>
        <v/>
      </c>
      <c r="FB33" s="115">
        <f>IF(Invoer!AZ53="","",Invoer!AZ53)</f>
        <v/>
      </c>
      <c r="FC33" s="115">
        <f>IF(Invoer!BA53="","",Invoer!BA53)</f>
        <v/>
      </c>
      <c r="FD33" s="115">
        <f>IF(Invoer!BB53="","",Invoer!BB53)</f>
        <v/>
      </c>
      <c r="FE33" s="348" t="n"/>
      <c r="FF33" s="118">
        <f>IF(AND(functie_1&lt;&gt;"",lambda&lt;&gt;""),lambda*m_schip,"")</f>
        <v/>
      </c>
      <c r="FG33" s="118">
        <f>IF(functie_1&lt;&gt;"",lambda_functie,"")</f>
        <v/>
      </c>
      <c r="FH33" s="118">
        <f>IF(functie_1&lt;&gt;"",ONB_missie,"")</f>
        <v/>
      </c>
      <c r="FI33" s="115">
        <f>IF(Lijst_componenten="","", IF(OR(FH33=0,FH33=""),FI32, IF(FI32="",FH33,1-(1-FH33)*(1-FI32))))</f>
        <v/>
      </c>
      <c r="FJ33" s="118">
        <f>IF(functie_1&lt;&gt;"",ONB_aanvang,"")</f>
        <v/>
      </c>
      <c r="FK33" s="115">
        <f>IF(Lijst_componenten="","", IF(OR(FJ33=0,FJ33=""),FK32, IF(FK32="",FJ33,1-(1-FJ33)*(1-FK32))))</f>
        <v/>
      </c>
      <c r="FL33" s="107" t="n"/>
      <c r="FM33" s="118">
        <f>IF(AND(functie_2&lt;&gt;"",lambda&lt;&gt;""),lambda*m_schip,"")</f>
        <v/>
      </c>
      <c r="FN33" s="118">
        <f>IF(functie_2&lt;&gt;"",lambda_functie,"")</f>
        <v/>
      </c>
      <c r="FO33" s="118">
        <f>IF(functie_2&lt;&gt;"",ONB_missie,"")</f>
        <v/>
      </c>
      <c r="FP33" s="115">
        <f>IF(Lijst_componenten="","", IF(OR(FO33=0,FO33=""),FP32, IF(FP32="",FO33,1-(1-FO33)*(1-FP32))))</f>
        <v/>
      </c>
      <c r="FQ33" s="118">
        <f>IF(functie_2&lt;&gt;"",ONB_aanvang,"")</f>
        <v/>
      </c>
      <c r="FR33" s="115">
        <f>IF(Lijst_componenten="","", IF(OR(FQ33=0,FQ33=""),FR32, IF(FR32="",FQ33,1-(1-FQ33)*(1-FR32))))</f>
        <v/>
      </c>
      <c r="FS33" s="107" t="n"/>
      <c r="FT33" s="118">
        <f>IF(AND(functie_3&lt;&gt;"",lambda&lt;&gt;""),lambda*m_schip,"")</f>
        <v/>
      </c>
      <c r="FU33" s="118">
        <f>IF(functie_3&lt;&gt;"",lambda_functie,"")</f>
        <v/>
      </c>
      <c r="FV33" s="118">
        <f>IF(functie_3&lt;&gt;"",ONB_missie,"")</f>
        <v/>
      </c>
      <c r="FW33" s="115">
        <f>IF(Lijst_componenten="","", IF(OR(FV33=0,FV33=""),FW32, IF(FW32="",FV33,1-(1-FV33)*(1-FW32))))</f>
        <v/>
      </c>
      <c r="FX33" s="118">
        <f>IF(functie_3&lt;&gt;"",ONB_aanvang,"")</f>
        <v/>
      </c>
      <c r="FY33" s="115">
        <f>IF(Lijst_componenten="","", IF(OR(FX33=0,FX33=""),FY32, IF(FY32="",FX33,1-(1-FX33)*(1-FY32))))</f>
        <v/>
      </c>
      <c r="FZ33" s="107" t="n"/>
      <c r="GA33" s="118">
        <f>IF(AND(functie_4&lt;&gt;"",lambda&lt;&gt;""),lambda*m_schip,"")</f>
        <v/>
      </c>
      <c r="GB33" s="118">
        <f>IF(functie_4&lt;&gt;"",lambda_functie,"")</f>
        <v/>
      </c>
      <c r="GC33" s="118">
        <f>IF(functie_4&lt;&gt;"",ONB_missie,"")</f>
        <v/>
      </c>
      <c r="GD33" s="115">
        <f>IF(Lijst_componenten="","", IF(OR(GC33=0,GC33=""),GD32, IF(GD32="",GC33,1-(1-GC33)*(1-GD32))))</f>
        <v/>
      </c>
      <c r="GE33" s="118">
        <f>IF(functie_4&lt;&gt;"",ONB_aanvang,"")</f>
        <v/>
      </c>
      <c r="GF33" s="115">
        <f>IF(Lijst_componenten="","", IF(OR(GE33=0,GE33=""),GF32, IF(GF32="",GE33,1-(1-GE33)*(1-GF32))))</f>
        <v/>
      </c>
      <c r="GG33" s="107" t="n"/>
      <c r="GH33" s="118">
        <f>IF(AND(functie_5&lt;&gt;"",lambda&lt;&gt;""),lambda*m_schip,"")</f>
        <v/>
      </c>
      <c r="GI33" s="118">
        <f>IF(functie_5&lt;&gt;"",lambda_functie,"")</f>
        <v/>
      </c>
      <c r="GJ33" s="118">
        <f>IF(functie_5&lt;&gt;"",ONB_missie,"")</f>
        <v/>
      </c>
      <c r="GK33" s="115">
        <f>IF(Lijst_componenten="","", IF(OR(GJ33=0,GJ33=""),GK32, IF(GK32="",GJ33,1-(1-GJ33)*(1-GK32))))</f>
        <v/>
      </c>
      <c r="GL33" s="118">
        <f>IF(functie_5&lt;&gt;"",ONB_aanvang,"")</f>
        <v/>
      </c>
      <c r="GM33" s="115">
        <f>IF(Lijst_componenten="","", IF(OR(GL33=0,GL33=""),GM32, IF(GM32="",GL33,1-(1-GL33)*(1-GM32))))</f>
        <v/>
      </c>
      <c r="GN33" s="107" t="n"/>
      <c r="GO33" s="118">
        <f>IF(AND(functie_6&lt;&gt;"",lambda&lt;&gt;""),lambda*m_schip,"")</f>
        <v/>
      </c>
      <c r="GP33" s="118">
        <f>IF(functie_6&lt;&gt;"",lambda_functie,"")</f>
        <v/>
      </c>
      <c r="GQ33" s="118">
        <f>IF(functie_6&lt;&gt;"",ONB_missie,"")</f>
        <v/>
      </c>
      <c r="GR33" s="115">
        <f>IF(Lijst_componenten="","", IF(OR(GQ33=0,GQ33=""),GR32, IF(GR32="",GQ33,1-(1-GQ33)*(1-GR32))))</f>
        <v/>
      </c>
      <c r="GS33" s="118">
        <f>IF(functie_6&lt;&gt;"",ONB_aanvang,"")</f>
        <v/>
      </c>
      <c r="GT33" s="115">
        <f>IF(Lijst_componenten="","", IF(OR(GS33=0,GS33=""),GT32, IF(GT32="",GS33,1-(1-GS33)*(1-GT32))))</f>
        <v/>
      </c>
      <c r="GU33" s="107" t="n"/>
      <c r="GV33" s="118">
        <f>IF(AND(functie_7&lt;&gt;"",lambda&lt;&gt;""),lambda*m_schip,"")</f>
        <v/>
      </c>
      <c r="GW33" s="118">
        <f>IF(functie_7&lt;&gt;"",lambda_functie,"")</f>
        <v/>
      </c>
      <c r="GX33" s="118">
        <f>IF(functie_7&lt;&gt;"",ONB_missie,"")</f>
        <v/>
      </c>
      <c r="GY33" s="115">
        <f>IF(Lijst_componenten="","", IF(OR(GX33=0,GX33=""),GY32, IF(GY32="",GX33,1-(1-GX33)*(1-GY32))))</f>
        <v/>
      </c>
      <c r="GZ33" s="118">
        <f>IF(functie_7&lt;&gt;"",ONB_aanvang,"")</f>
        <v/>
      </c>
      <c r="HA33" s="115">
        <f>IF(Lijst_componenten="","", IF(OR(GZ33=0,GZ33=""),HA32, IF(HA32="",GZ33,1-(1-GZ33)*(1-HA32))))</f>
        <v/>
      </c>
      <c r="HB33" s="107" t="n"/>
      <c r="HC33" s="118">
        <f>IF(AND(functie_8&lt;&gt;"",lambda&lt;&gt;""),lambda*m_schip,"")</f>
        <v/>
      </c>
      <c r="HD33" s="118">
        <f>IF(functie_8&lt;&gt;"",lambda_functie,"")</f>
        <v/>
      </c>
      <c r="HE33" s="118">
        <f>IF(functie_8&lt;&gt;"",ONB_missie,"")</f>
        <v/>
      </c>
      <c r="HF33" s="115">
        <f>IF(Lijst_componenten="","", IF(OR(HE33=0,HE33=""),HF32, IF(HF32="",HE33,1-(1-HE33)*(1-HF32))))</f>
        <v/>
      </c>
      <c r="HG33" s="118">
        <f>IF(functie_8&lt;&gt;"",ONB_aanvang,"")</f>
        <v/>
      </c>
      <c r="HH33" s="115">
        <f>IF(Lijst_componenten="","", IF(OR(HG33=0,HG33=""),HH32, IF(HH32="",HG33,1-(1-HG33)*(1-HH32))))</f>
        <v/>
      </c>
      <c r="HI33" s="107" t="n"/>
      <c r="HJ33" s="118">
        <f>IF(AND(functie_9&lt;&gt;"",lambda&lt;&gt;""),lambda*m_schip,"")</f>
        <v/>
      </c>
      <c r="HK33" s="118">
        <f>IF(functie_9&lt;&gt;"",lambda_functie,"")</f>
        <v/>
      </c>
      <c r="HL33" s="118">
        <f>IF(functie_9&lt;&gt;"",ONB_missie,"")</f>
        <v/>
      </c>
      <c r="HM33" s="115">
        <f>IF(Lijst_componenten="","", IF(OR(HL33=0,HL33=""),HM32, IF(HM32="",HL33,1-(1-HL33)*(1-HM32))))</f>
        <v/>
      </c>
      <c r="HN33" s="118">
        <f>IF(functie_9&lt;&gt;"",ONB_aanvang,"")</f>
        <v/>
      </c>
      <c r="HO33" s="115">
        <f>IF(Lijst_componenten="","", IF(OR(HN33=0,HN33=""),HO32, IF(HO32="",HN33,1-(1-HN33)*(1-HO32))))</f>
        <v/>
      </c>
      <c r="HP33" s="107" t="n"/>
      <c r="HQ33" s="118">
        <f>IF(AND(functie_10&lt;&gt;"",lambda&lt;&gt;""),lambda*m_schip,"")</f>
        <v/>
      </c>
      <c r="HR33" s="118">
        <f>IF(functie_10&lt;&gt;"",lambda_functie,"")</f>
        <v/>
      </c>
      <c r="HS33" s="118">
        <f>IF(functie_10&lt;&gt;"",ONB_missie,"")</f>
        <v/>
      </c>
      <c r="HT33" s="115">
        <f>IF(Lijst_componenten="","", IF(OR(HS33=0,HS33=""),HT32, IF(HT32="",HS33,1-(1-HS33)*(1-HT32))))</f>
        <v/>
      </c>
      <c r="HU33" s="118">
        <f>IF(functie_10&lt;&gt;"",ONB_aanvang,"")</f>
        <v/>
      </c>
      <c r="HV33" s="115">
        <f>IF(Lijst_componenten="","", IF(OR(HU33=0,HU33=""),HV32, IF(HV32="",HU33,1-(1-HU33)*(1-HV32))))</f>
        <v/>
      </c>
      <c r="HW33" s="353" t="n"/>
      <c r="HX33" s="113" t="n"/>
      <c r="HY33" s="353" t="n"/>
      <c r="HZ33" s="353" t="n"/>
      <c r="IA33" s="353" t="n"/>
      <c r="IB33" s="353" t="n"/>
      <c r="IC33" s="353" t="n"/>
      <c r="ID33" s="353" t="n"/>
      <c r="IE33" s="353" t="n"/>
      <c r="IF33" s="353" t="n"/>
      <c r="IG33" s="353" t="n"/>
      <c r="IH33" s="353" t="n"/>
      <c r="II33" s="353" t="n"/>
      <c r="IJ33" s="353" t="n"/>
      <c r="IK33" s="353" t="n"/>
      <c r="IL33" s="353" t="n"/>
      <c r="IM33" s="353" t="n"/>
      <c r="IN33" s="353" t="n"/>
      <c r="IO33" s="353" t="n"/>
      <c r="IP33" s="353" t="n"/>
      <c r="IQ33" s="353" t="n"/>
      <c r="IR33" s="353" t="n"/>
      <c r="IS33" s="353" t="n"/>
      <c r="IT33" s="353" t="n"/>
      <c r="IU33" s="353" t="n"/>
      <c r="IV33" s="353" t="n"/>
    </row>
    <row r="34" ht="12" customFormat="1" customHeight="1" s="353">
      <c r="A34" s="99" t="n">
        <v>17</v>
      </c>
      <c r="B34" s="649">
        <f>N(Invoer!B54)</f>
        <v/>
      </c>
      <c r="C34" s="649">
        <f>N(Invoer!C54)</f>
        <v/>
      </c>
      <c r="D34" s="649">
        <f>N(Invoer!D54)</f>
        <v/>
      </c>
      <c r="E34" s="649">
        <f>N(Invoer!E54)</f>
        <v/>
      </c>
      <c r="F34" s="649">
        <f>N(Invoer!F54)</f>
        <v/>
      </c>
      <c r="G34" s="649">
        <f>N(Invoer!G54)</f>
        <v/>
      </c>
      <c r="H34" s="649">
        <f>N(Invoer!H54)</f>
        <v/>
      </c>
      <c r="I34" s="649">
        <f>N(Invoer!I54)</f>
        <v/>
      </c>
      <c r="J34" s="649">
        <f>N(Invoer!J54)</f>
        <v/>
      </c>
      <c r="K34" s="649">
        <f>N(Invoer!K54)</f>
        <v/>
      </c>
      <c r="L34" s="58">
        <f>IF(Invoer!L54="","",Invoer!L54)</f>
        <v/>
      </c>
      <c r="M34" s="650">
        <f>N(Invoer!M54)</f>
        <v/>
      </c>
      <c r="N34" s="58">
        <f>IF(Invoer!N54="","",Invoer!N54)</f>
        <v/>
      </c>
      <c r="O34" s="119" t="n"/>
      <c r="P34" s="96">
        <f>IF(Invoer!BK54="","",Invoer!BK54)</f>
        <v/>
      </c>
      <c r="Q34" s="96">
        <f>IF(Invoer!BL54="","",Invoer!BL54)</f>
        <v/>
      </c>
      <c r="R34" s="96">
        <f>IF(Invoer!BM54="","",Invoer!BM54)</f>
        <v/>
      </c>
      <c r="S34" s="96">
        <f>IF(Invoer!BN54="","",Invoer!BN54)</f>
        <v/>
      </c>
      <c r="T34" s="96">
        <f>IF(Invoer!BO54="","",Invoer!BO54)</f>
        <v/>
      </c>
      <c r="U34" s="96">
        <f>IF(Invoer!BP54="","",Invoer!BP54)</f>
        <v/>
      </c>
      <c r="V34" s="60" t="n"/>
      <c r="W34" s="115">
        <f>IF(Invoer!BQ54="","",Invoer!BQ54)</f>
        <v/>
      </c>
      <c r="X34" s="115">
        <f>IF(Invoer!BR54="","",Invoer!BR54)</f>
        <v/>
      </c>
      <c r="Y34" s="60" t="n"/>
      <c r="Z34" s="115">
        <f>IF(Invoer!BS54="","",Invoer!BS54)</f>
        <v/>
      </c>
      <c r="AA34" s="115">
        <f>IF(Invoer!BT54="","",Invoer!BT54)</f>
        <v/>
      </c>
      <c r="AB34" s="115">
        <f>IF(Invoer!P54="","",Invoer!P54)</f>
        <v/>
      </c>
      <c r="AC34" s="60" t="n"/>
      <c r="AD34" s="34">
        <f>IF(Invoer!Q54="","",Invoer!Q54)</f>
        <v/>
      </c>
      <c r="AE34" s="110" t="n"/>
      <c r="AF34" s="96">
        <f>IF(Invoer!R54="","",Invoer!R54)</f>
        <v/>
      </c>
      <c r="AG34" s="107" t="n"/>
      <c r="AH34" s="107" t="n"/>
      <c r="AI34" s="658">
        <f>IF(N(Invoer!S54)=0,"",Invoer!S54)</f>
        <v/>
      </c>
      <c r="AJ34" s="659">
        <f>IF(Invoer!T54="","",Invoer!T54)</f>
        <v/>
      </c>
      <c r="AK34" s="365" t="n"/>
      <c r="AL34" s="659">
        <f>IF(Invoer!U54="","",Invoer!U54)</f>
        <v/>
      </c>
      <c r="AM34" s="659">
        <f>IF(Invoer!V54="","",Invoer!V54)</f>
        <v/>
      </c>
      <c r="AN34" s="659">
        <f>IF(Invoer!W54="","",Invoer!W54)</f>
        <v/>
      </c>
      <c r="AO34" s="368" t="n"/>
      <c r="AP34" s="660">
        <f>N(Invoer!X54)</f>
        <v/>
      </c>
      <c r="AQ34" s="660">
        <f>N(Invoer!Y54)</f>
        <v/>
      </c>
      <c r="AR34" s="660">
        <f>N(Invoer!Z54)</f>
        <v/>
      </c>
      <c r="AS34" s="660">
        <f>N(Invoer!AA54)</f>
        <v/>
      </c>
      <c r="AT34" s="660">
        <f>N(Invoer!AB54)</f>
        <v/>
      </c>
      <c r="AU34" s="660">
        <f>N(Invoer!AC54)</f>
        <v/>
      </c>
      <c r="AV34" s="368" t="n"/>
      <c r="AW34" s="661">
        <f>N(Invoer!AD54)</f>
        <v/>
      </c>
      <c r="AX34" s="368" t="n"/>
      <c r="AY34" s="541">
        <f>IF(Periodiciteit&lt;&gt;"",(uurtarief_wd*(IF(ISNUMBER(tijd_wd),tijd_wd,0))+uurtarief_td*(IF(ISNUMBER(tijd_td),tijd_td,0))+uurtarief_sb*(IF(ISNUMBER(tijd_sb),tijd_sb,0))+uurtarief_rw*(IF(ISNUMBER(tijd_rw),tijd_rw,0))+uurtarief_d*(IF(ISNUMBER(tijd_d),tijd_d,0))+uurtarief_3*(IF(ISNUMBER(tijd_3),tijd_3,0)) +(IF(ISNUMBER(f_vast),f_vast,0)))*(IF(Perio_int="j",1,IF(Perio_int="m",12,IF(Perio_int="w",52,IF(Perio_int="d",365,0)))))*Periodiciteit*aantal_componenten,"")</f>
        <v/>
      </c>
      <c r="AZ34" s="368" t="n"/>
      <c r="BA34" s="542">
        <f>IF(N(Invoer!AE54)=0,"",Invoer!AE54)</f>
        <v/>
      </c>
      <c r="BB34" s="368" t="n"/>
      <c r="BC34" s="542">
        <f>IF(AND(Periodiciteit&lt;&gt;"",Kosten_res_pk&lt;&gt;""), Kosten_res_pk*(IF(Perio_int="j",1,IF(Perio_int="m",12,IF(Perio_int="w",52,IF(Perio_int="d",365,0)))))*Periodiciteit*aantal_componenten,"")</f>
        <v/>
      </c>
      <c r="BD34" s="368" t="n"/>
      <c r="BE34" s="370" t="n"/>
      <c r="BF34" s="368" t="n"/>
      <c r="BG34" s="542">
        <f>IF(Kosten_res_trade &lt;&gt;"", Kosten_res_trade, Kosten_res_jaar )</f>
        <v/>
      </c>
      <c r="BH34" s="368" t="n"/>
      <c r="BI34" s="543">
        <f>IF(N(Invoer!AF54)=0,"",Invoer!AF54)</f>
        <v/>
      </c>
      <c r="BJ34" s="368" t="n"/>
      <c r="BK34" s="543">
        <f>IF(AND(Periodiciteit&lt;&gt;"",Gevolgkosten&lt;&gt;""), Gevolgkosten*(IF(Perio_int="j",1,IF(Perio_int="m",12,IF(Perio_int="w",52,IF(Perio_int="d",365,0)))))*Periodiciteit*aantal_componenten,"")</f>
        <v/>
      </c>
      <c r="BL34" s="368" t="n"/>
      <c r="BM34" s="660">
        <f>N(Invoer!AJ54)</f>
        <v/>
      </c>
      <c r="BN34" s="662">
        <f>N(Invoer!AK54)</f>
        <v/>
      </c>
      <c r="BO34" s="662">
        <f>N(Invoer!AL54)</f>
        <v/>
      </c>
      <c r="BP34" s="662">
        <f>N(Invoer!AM54)</f>
        <v/>
      </c>
      <c r="BQ34" s="368" t="n"/>
      <c r="BR34" s="662">
        <f>N(Invoer!AN54)</f>
        <v/>
      </c>
      <c r="BS34" s="543">
        <f>IF(N(Invoer!AO54)=0,"",Invoer!AO54)</f>
        <v/>
      </c>
      <c r="BT34" s="662">
        <f>N(Invoer!AP54)</f>
        <v/>
      </c>
      <c r="BU34" s="368" t="n"/>
      <c r="BV34" s="662">
        <f>N(Invoer!AQ54)</f>
        <v/>
      </c>
      <c r="BW34" s="663">
        <f>N(Invoer!AR54)</f>
        <v/>
      </c>
      <c r="BX34" s="480" t="n"/>
      <c r="BY34" s="477" t="n"/>
      <c r="BZ34" s="107" t="n"/>
      <c r="CA34" s="64">
        <f>IF(N(Invoer!AG54)=0,"",Invoer!AG54)</f>
        <v/>
      </c>
      <c r="CB34" s="657">
        <f>N(Invoer!AH54)</f>
        <v/>
      </c>
      <c r="CC34" s="657">
        <f>N(Invoer!AI54)</f>
        <v/>
      </c>
      <c r="CD34" s="64">
        <f>IF( OR(CO_rep&lt;&gt;"",CO_verv&lt;&gt;""),IF(lambda_fabrikant&lt;&gt;"",IF(Uitvoeren_missie="N", (1-EXP(-aantal_componenten*lambda_fabrikant*Missieduur*p_gebruik_missie))/Missieduur/aantal_componenten,
IF(doorlooptijd_missie_i &lt;&gt; 0,((aantal_componenten*lambda_fabrikant*(1/doorlooptijd_missie_i)/(aantal_componenten*lambda_fabrikant+1/doorlooptijd_missie_i))*Missieduur*p_gebruik_missie+(aantal_componenten*lambda_fabrikant)^2/(aantal_componenten*lambda_fabrikant+1/doorlooptijd_missie_i)^2*(1-EXP(-(aantal_componenten*lambda_fabrikant+1/doorlooptijd_missie_i)*Missieduur*p_gebruik_missie)))/Missieduur/aantal_componenten,lambda_fabrikant*p_gebruik_missie)),""),"")</f>
        <v/>
      </c>
      <c r="CE34" s="64">
        <f>IF( OR(CO_rep&lt;&gt;"",CO_verv&lt;&gt;""),IF(lambda_fabrikant&lt;&gt;"",IF(uitvoeren_GO = "J", (1-EXP(-(aantal_componenten*lambda_fabrikant*p_gebruik_wal* interval_groot_onderhoud/8760*Missies_per_jaar*walduur)))/ (interval_groot_onderhoud/8760*Missies_per_jaar*walduur) / aantal_componenten,IF(doorlooptijd_wal_i &lt;&gt; 0,((aantal_componenten*lambda_fabrikant*(1/doorlooptijd_wal_i)/(aantal_componenten*lambda_fabrikant+1/doorlooptijd_wal_i))*walduur*p_gebruik_wal+(aantal_componenten*lambda_fabrikant)^2/(aantal_componenten*lambda_fabrikant+1/doorlooptijd_wal_i)^2*(1-EXP(-(aantal_componenten*lambda_fabrikant+1/doorlooptijd_wal_i)*walduur*p_gebruik_wal)))/walduur/aantal_componenten,lambda_fabrikant*p_gebruik_wal)),""),"")</f>
        <v/>
      </c>
      <c r="CF34" s="64">
        <f>IF( OR(CO_rep&lt;&gt;"",CO_verv&lt;&gt;""),
IF(OR(lambda_missie_g&lt;&gt;"",lambda_wal_g&lt;&gt;""), "", IF(Perio_int="j",1/8760, IF(Perio_int="m",12/8760, IF(Perio_int="w",52/8760, IF(Perio_int="d",365/8760,"error") ) ) )*Periodiciteit),"")</f>
        <v/>
      </c>
      <c r="CG34" s="66">
        <f>IF(OR(CO_rep&lt;&gt;"",CO_verv&lt;&gt;""),1,"")</f>
        <v/>
      </c>
      <c r="CH34" s="64">
        <f>IF( OR(CO_rep&lt;&gt;"",CO_verv&lt;&gt;""),IF(lambda_fabrikant="",lambda_kalendertijd*missiepercentage*8760/(Missies_per_jaar*Missieduur),""),"")</f>
        <v/>
      </c>
      <c r="CI34" s="64">
        <f>IF( OR(CO_rep&lt;&gt;"",CO_verv&lt;&gt;""),IF(lambda_fabrikant="",lambda_kalendertijd*(1-missiepercentage)*8760/(Missies_per_jaar*walduur),""),"")</f>
        <v/>
      </c>
      <c r="CJ34" s="64">
        <f>IF( OR(CO_rep&lt;&gt;"",CO_verv&lt;&gt;""),
IF(OR(lambda_missie_g&lt;&gt;"",lambda_wal_g&lt;&gt;""), (lambda_missie_g*Missieduur + lambda_wal_g*walduur)/8760*Missies_per_jaar, lambda_kalendertijd),"")</f>
        <v/>
      </c>
      <c r="CK34" s="64">
        <f>IF(lambda&lt;&gt;"",m_schip*lambda,"")</f>
        <v/>
      </c>
      <c r="CL34" s="65">
        <f>IF(OR(CO_rep&lt;&gt;"",CO_verv&lt;&gt;""),IF(Redundantie = "J","?",1),"")</f>
        <v/>
      </c>
      <c r="CM34" s="64">
        <f>IF(lambda&lt;&gt;"",IF(Redundantie="J",IF(lambda_missie_g&lt;&gt;"",lambda_missie_g*redundantie_factor,lambda_missie*redundantie_factor),IF(lambda_missie_g&lt;&gt;"",lambda_missie_g*m_schip,lambda_missie*m_schip)),"")</f>
        <v/>
      </c>
      <c r="CN34" s="64">
        <f>IF(lambda&lt;&gt;"",lambda_functie*Missieduur*Missies_per_jaar/8760,"")</f>
        <v/>
      </c>
      <c r="CO34" s="64">
        <f>IF(lambda&lt;&gt;"",IF(Redundantie="J",IF(lambda_wal_g&lt;&gt;"",lambda_wal_g*redundantie_factor,lambda_wal*redundantie_factor),IF(lambda_wal_g&lt;&gt;"",lambda_wal_g*m_schip,lambda_wal*m_schip)),"")</f>
        <v/>
      </c>
      <c r="CP34" s="64">
        <f>IF(lambda&lt;&gt;"",lambda_functie_wal*walduur*Missies_per_jaar/8760,"")</f>
        <v/>
      </c>
      <c r="CQ34" s="107" t="n"/>
      <c r="CR34" s="115">
        <f>IF(OR(CO_verv&lt;&gt;"",CO_rep&lt;&gt;""),aantal_componenten,"")</f>
        <v/>
      </c>
      <c r="CS34" s="66">
        <f>IF( OR(CO_rep&lt;&gt;"",CO_verv&lt;&gt;""),IF(Aantal_res_boord=0,1,IF(lambda_missie_g&lt;&gt;"",1-POISSON(Aantal_res_boord-1,m_schip*lambda_missie_g*Missieduur,TRUE),1-POISSON(Aantal_res_boord-1,m_schip*lambda_missie*Missieduur,TRUE))),"")</f>
        <v/>
      </c>
      <c r="CT34" s="107" t="n"/>
      <c r="CU34" s="115">
        <f>IF(OR(CO_verv&lt;&gt;"",CO_rep&lt;&gt;""),Aantal_fregatten * m_schip,"")</f>
        <v/>
      </c>
      <c r="CV34" s="65">
        <f>IF(AND(lambda&gt;0,Aantal_ini_wal&gt;=0,Aantal_res_wal&lt;&gt;""),IF(Aantal_ini_wal&gt;Aantal_res_wal,(Aantal_ini_wal-Aantal_res_wal)/(m_vloot*lambda*8760),0),"")</f>
        <v/>
      </c>
      <c r="CW34" s="65">
        <f>IF(AND(lambda&gt;0,Aantal_max_wal&gt;=0,Aantal_res_wal&lt;&gt;""),IF(Aantal_max_wal&gt;Aantal_res_wal,(Aantal_max_wal-Aantal_res_wal)/(m_vloot*lambda*8760),0),"")</f>
        <v/>
      </c>
      <c r="CX34" s="68">
        <f>IF(AND(ini_periode&lt;&gt;"",bestel_interval&lt;&gt;"",besteltijd&lt;&gt;""),IF(ini_periode&gt;=Looptijd,0,
IF(bestel_interval&gt;=(Looptijd-ini_periode),IF(besteltijd&lt;(Looptijd-ini_periode),besteltijd/8760/Looptijd,(Looptijd-ini_periode)/Looptijd),
IF(((Looptijd-ini_periode)-(INT((Looptijd-ini_periode)/(besteltijd/8760+bestel_interval))))&gt;=besteltijd/8760,(1+INT((Looptijd-ini_periode)/(besteltijd/8760+bestel_interval)))*(besteltijd/8760)/Looptijd,(INT((Looptijd-ini_periode)/(besteltijd/8760+bestel_interval))*(besteltijd/8760)+((Looptijd-ini_periode)-(INT((Looptijd-ini_periode)/(besteltijd/8760+bestel_interval)))*(besteltijd/8760+bestel_interval)))/Looptijd))),"")</f>
        <v/>
      </c>
      <c r="CY34" s="66">
        <f>IF( OR(CO_rep&lt;&gt;"",CO_verv&lt;&gt;""),
IF( Aantal_res_wal+(Aantal_fregatten-1)*Aantal_res_boord=0, 1*IF(percentage_looptijd_inbestelling&lt;&gt;"",percentage_looptijd_inbestelling,1),
(1-POISSON(Aantal_res_wal-1+(Aantal_fregatten-1)*Aantal_res_boord, m_vloot*lambda*besteltijd,TRUE))*IF(percentage_looptijd_inbestelling&lt;&gt;"",percentage_looptijd_inbestelling,1)),"")</f>
        <v/>
      </c>
      <c r="CZ34" s="66">
        <f>IF( OR(CO_rep&lt;&gt;"",CO_verv&lt;&gt;""),IF( Aantal_res_wal=0,1, 1-POISSON(Aantal_res_boord+Aantal_res_wal-1, m_vloot*lambda*besteltijd,TRUE) ),"")</f>
        <v/>
      </c>
      <c r="DA34" s="107" t="n"/>
      <c r="DB34" s="115">
        <f>IF(OR(Uitvoeren_missie&lt;&gt;"J",uitvoeren_bedrijf="J",uitvoeren_GO="J"), "",
IF(TAO_revisie&lt;&gt;"", TAO_rev_verv_tijd,
IF(TAO_vervanging&lt;&gt;"", TAO_rev_verv_tijd,
IF(PO_doorlooptijd&lt;&gt;0, PO_doorlooptijd,"" ))))</f>
        <v/>
      </c>
      <c r="DC34" s="107" t="n"/>
      <c r="DD34" s="115">
        <f>IF(AND(CO_rep&lt;&gt;"", Uitvoeren_missie="N"), Missieduur,
IF(AND(CO_rep&lt;&gt;"", Uitvoeren_missie="J"), CO_zoektijd + CO_rep_verv_tijd,""))</f>
        <v/>
      </c>
      <c r="DE34" s="115">
        <f>IF(AND(CO_verv&lt;&gt;"", Uitvoeren_missie="N"), Missieduur,
IF(AND(CO_verv&lt;&gt;"", Uitvoeren_missie="J"), CO_zoektijd + CO_rep_verv_tijd,""))</f>
        <v/>
      </c>
      <c r="DF34" s="115">
        <f>IF(AND(CO_verv&lt;&gt;"", Uitvoeren_missie="N"), Missieduur,
IF(AND(CO_verv&lt;&gt;"", Uitvoeren_missie="J"), wachttijd_invlieg+CO_zoektijd + CO_rep_verv_tijd,""))</f>
        <v/>
      </c>
      <c r="DG34" s="115">
        <f>IF(AND(CO_verv&lt;&gt;"", Uitvoeren_missie="N"), Missieduur,
IF(AND(CO_verv&lt;&gt;"", Uitvoeren_missie="J"), besteltijd + wachttijd_invlieg + CO_zoektijd + CO_rep_verv_tijd,""))</f>
        <v/>
      </c>
      <c r="DH34" s="115">
        <f> IF(AND(doorlooptijd_missie_met&lt;&gt;"",CO_verv&lt;&gt;""), P_op_boord* ( P_op_vloot*doorlooptijd_missie_zonder + (1-P_op_vloot)*doorlooptijd_invlieg ) + (1-P_op_boord)* doorlooptijd_missie_met, "")</f>
        <v/>
      </c>
      <c r="DI34" s="115">
        <f>IF(CO_rep&lt;&gt;"",doorlooptijd_missie_rep,IF(AND(CO_verv&lt;&gt;"",Aantal_res_boord&lt;&gt;"",Aantal_res_boord&lt;&gt;0),doorlooptijd_missie_met,IF(AND(CO_verv&lt;&gt;"",Aantal_max_wal&lt;&gt;"",Aantal_max_wal&lt;&gt;0),doorlooptijd_invlieg,doorlooptijd_missie_zonder)))</f>
        <v/>
      </c>
      <c r="DJ34" s="115">
        <f>IF(doorlooptijd_missie_verv&lt;&gt;"", doorlooptijd_missie_verv, IF(doorlooptijd_missie_rep&lt;&gt;"", doorlooptijd_missie_rep,""))</f>
        <v/>
      </c>
      <c r="DK34" s="107" t="n"/>
      <c r="DL34" s="115">
        <f> IF(CO_rep&lt;&gt;"", CO_zoektijd + CO_rep_verv_tijd,"")</f>
        <v/>
      </c>
      <c r="DM34" s="115">
        <f> IF(AND(CO_verv&lt;&gt;"",CO_rep=""), wachttijd_wal+CO_zoektijd + CO_rep_verv_tijd,"")</f>
        <v/>
      </c>
      <c r="DN34" s="115">
        <f> IF(AND(CO_verv&lt;&gt;"",CO_rep=""), wachttijd_invlieg+CO_zoektijd + CO_rep_verv_tijd,"")</f>
        <v/>
      </c>
      <c r="DO34" s="115">
        <f>IF(AND(CO_verv&lt;&gt;"",CO_rep=""), besteltijd + wachttijd_wal + CO_zoektijd + CO_rep_verv_tijd,"")</f>
        <v/>
      </c>
      <c r="DP34" s="69">
        <f> IF(AND(doorlooptijd_van_wal&lt;&gt;"",CO_verv&lt;&gt;""), P_op_vloot*doorlooptijd_wal_zonder +
(1-P_op_vloot)*(P_op_wal*Doorlooptijd_transport+ (1-P_op_wal)*doorlooptijd_van_wal ), "")</f>
        <v/>
      </c>
      <c r="DQ34" s="115">
        <f>IF(CO_rep&lt;&gt;"",doorlooptijd_wal_rep,IF(AND(CO_verv&lt;&gt;"",AND(Aantal_res_boord&lt;&gt;"",Aantal_res_boord&lt;&gt;0)),doorlooptijd_van_wal,IF(AND(CO_verv&lt;&gt;"",AND(Aantal_max_wal&lt;&gt;"",Aantal_max_wal&lt;&gt;0)),Doorlooptijd_transport,doorlooptijd_wal_zonder)))</f>
        <v/>
      </c>
      <c r="DR34" s="115">
        <f>IF(doorlooptijd_wal_verv&lt;&gt;"", doorlooptijd_wal_verv, IF(doorlooptijd_wal_rep&lt;&gt;"", doorlooptijd_wal_rep,""))</f>
        <v/>
      </c>
      <c r="DS34" s="107" t="n"/>
      <c r="DT34" s="64">
        <f>IF(OR(CO_verv&lt;&gt;"",CO_rep&lt;&gt;""),IF(lambda_functie&lt;&gt;"",ONB_missie_tussenberekening_1 + ONB_missie_tussenberekening_2,""),"")</f>
        <v/>
      </c>
      <c r="DU34" s="64">
        <f>IF(OR(CO_rep&lt;&gt;"",CO_verv&lt;&gt;""),IF(lambda_functie&lt;&gt;"",IF(Uitvoeren_missie="N",1-(1-EXP(-lambda_functie*Missieduur))/(lambda_functie*Missieduur),IF(CO_verv&lt;&gt;"",
(1-P_op_boord)*IF(doorlooptijd_missie_met&lt;&gt;0,lambda_functie/(lambda_functie+(1/doorlooptijd_missie_met))-lambda_functie/((lambda_functie+(1/doorlooptijd_missie_met))^2*Missieduur)*(1-EXP(-(lambda_functie+(1/doorlooptijd_missie_met))*Missieduur)),0)+P_op_boord*((1-P_op_vloot)*IF(doorlooptijd_invlieg&lt;&gt;0,lambda_functie/(lambda_functie+(1 /doorlooptijd_invlieg))-lambda_functie/((lambda_functie+(1/doorlooptijd_invlieg))^2*Missieduur)*(1-EXP(-(lambda_functie+(1/doorlooptijd_invlieg))*Missieduur)),0)+P_op_vloot*IF(doorlooptijd_missie_zonder&lt;&gt;0,lambda_functie/(lambda_functie+(1/doorlooptijd_missie_zonder))-lambda_functie/((lambda_functie+(1/doorlooptijd_missie_zonder))^2*Missieduur)*(1-EXP(-(lambda_functie+(1/doorlooptijd_missie_zonder))*Missieduur)),0)),0)),0),"")</f>
        <v/>
      </c>
      <c r="DV34" s="64">
        <f>IF(OR(CO_rep&lt;&gt;"",CO_verv&lt;&gt;""),IF(lambda_functie&lt;&gt;"",IF(CO_rep&lt;&gt;"",
IF(doorlooptijd_missie_rep&lt;&gt;0,lambda_functie/(lambda_functie+(1/doorlooptijd_missie_rep))-lambda_functie/((lambda_functie+(1/doorlooptijd_missie_rep))^2*Missieduur)*(1-EXP(-(lambda_functie+(1/doorlooptijd_missie_rep))*Missieduur)),0),0)),"")</f>
        <v/>
      </c>
      <c r="DW34" s="66">
        <f>IF(ONB_missie="","",IF(tot_ONB_missie&lt;&gt;0,ONB_missie/tot_ONB_missie,0))</f>
        <v/>
      </c>
      <c r="DX34" s="115">
        <f>IF(Lijst_componenten="","", IF(OR(DT34=0,DT34=""),DX33, IF(DX33="",DT34,1-(1-DT34)*(1-DX33))))</f>
        <v/>
      </c>
      <c r="DY34" s="107" t="n"/>
      <c r="DZ34" s="96">
        <f>IF(OR(CO_rep&lt;&gt;"",CO_verv&lt;&gt;""),IF(uitvoeren_GO="J",ONB_tussenberekening_1,IF(CO_rep&lt;&gt;"",ONB_tussenberekening_2,ONB_tussenberekening_3+ONB_tussenberekening_4+ONB_tussenberekening_5)),"")</f>
        <v/>
      </c>
      <c r="EA34" s="96">
        <f>IF(OR(CO_rep&lt;&gt;"",CO_verv&lt;&gt;""),IF(AND(OR(lambda_functie_kalendertijd&lt;&gt;"",lambda_functie_wal_kalendertijd&lt;&gt;""),uitvoeren_GO="J"),
1-(1-EXP(-(lambda_functie_kalendertijd+lambda_functie_wal_kalendertijd)*interval_groot_onderhoud))
/((lambda_functie_kalendertijd+lambda_functie_wal_kalendertijd)*interval_groot_onderhoud),0),"")</f>
        <v/>
      </c>
      <c r="EB34" s="96">
        <f>IF(OR(CO_rep&lt;&gt;"",CO_verv&lt;&gt;""),IF(AND(CO_rep &lt;&gt;"",OR(doorlooptijd_missie_rep&gt;=walduur,doorlooptijd_wal_rep &gt;= walduur)),IF(doorlooptijd_missie_rep &gt;= walduur,lambda_functie_kalendertijd / (lambda_functie_kalendertijd + 1/doorlooptijd_missie_rep),0)
+ IF(doorlooptijd_wal_rep &gt;= walduur,lambda_functie_wal_kalendertijd / (lambda_functie_wal_kalendertijd + 1/doorlooptijd_wal_rep),0),IF(CO_rep &lt;&gt; "",(1 -EXP(-(lambda_functie_wal_kalendertijd + 1 / doorlooptijd_wal_rep)*walduur))
* lambda_functie_wal_kalendertijd / (lambda_functie_wal_kalendertijd + 1/ doorlooptijd_wal_rep),0)),"")</f>
        <v/>
      </c>
      <c r="EC34" s="96">
        <f>IF(OR(CO_rep&lt;&gt;"",CO_verv&lt;&gt;""),IF(CO_verv&lt;&gt;"",
P_op_boord* ( P_op_vloot*IF(doorlooptijd_missie_zonder&gt;=walduur, lambda_functie_kalendertijd / (lambda_functie_kalendertijd + 1/doorlooptijd_missie_zonder),0)+ (1- P_op_vloot)*IF(doorlooptijd_invlieg&gt;=walduur, lambda_functie_kalendertijd / (lambda_functie_kalendertijd + 1 /doorlooptijd_invlieg),0) )
+ (1- P_op_boord) * IF(doorlooptijd_missie_met&gt;=walduur,lambda_functie_kalendertijd / (lambda_functie_kalendertijd + 1 / doorlooptijd_missie_met),0),0),"")</f>
        <v/>
      </c>
      <c r="ED34" s="96">
        <f>IF(OR(CO_rep&lt;&gt;"",CO_verv&lt;&gt;""),IF(CO_verv &lt;&gt;"",
(1-P_op_vloot)*((1 - P_op_wal)*IF(doorlooptijd_van_wal&gt;=walduur,lambda_functie_wal_kalendertijd/(lambda_functie_wal_kalendertijd+ 1/ doorlooptijd_van_wal),0)
+ P_op_wal*IF(Doorlooptijd_transport&gt;=walduur,lambda_functie_wal_kalendertijd / (lambda_functie_wal_kalendertijd +1/Doorlooptijd_transport),0) )+ P_op_vloot*IF(doorlooptijd_wal_zonder&gt;=walduur, lambda_functie_wal_kalendertijd / (lambda_functie_wal_kalendertijd + 1/ doorlooptijd_wal_zonder),0),0),"")</f>
        <v/>
      </c>
      <c r="EE34" s="96">
        <f>IF(OR(CO_rep&lt;&gt;"",CO_verv&lt;&gt;""),IF(CO_verv &lt;&gt;"",
(1-P_op_vloot)* ( (1- P_op_wal)* (IF(AND(doorlooptijd_van_wal&lt;&gt;0,doorlooptijd_van_wal&lt;walduur),(1 -EXP(-(lambda_functie_wal_kalendertijd + 1 / doorlooptijd_van_wal)*walduur))
* lambda_functie_wal_kalendertijd / (lambda_functie_wal_kalendertijd + 1/ doorlooptijd_van_wal),0))
+ P_op_wal*(IF(AND(Doorlooptijd_transport&lt;&gt;0,Doorlooptijd_transport&lt;walduur),(1 -EXP(-(lambda_functie_wal_kalendertijd + 1 / Doorlooptijd_transport)*walduur))
* lambda_functie_wal_kalendertijd /(lambda_functie_wal_kalendertijd + 1/ Doorlooptijd_transport),0)))
+ P_op_vloot*(IF(AND(doorlooptijd_wal_zonder&lt;&gt;0,doorlooptijd_wal_zonder&lt;walduur),(1 -EXP(-(lambda_functie_wal_kalendertijd + 1 / doorlooptijd_wal_zonder)*walduur))
* lambda_functie_wal_kalendertijd / (lambda_functie_wal_kalendertijd + 1/ doorlooptijd_wal_zonder),0)),0),"")</f>
        <v/>
      </c>
      <c r="EF34" s="66">
        <f>IF(ONB_aanvang="","",IF(tot_ONB_aanvang&lt;&gt;0,ONB_aanvang/tot_ONB_aanvang,0))</f>
        <v/>
      </c>
      <c r="EG34" s="115">
        <f>IF(Lijst_componenten="","", IF(OR(DZ34=0,DZ34=""),EG33, IF(EG33="",DZ34,1-(1-DZ34)*(1-EG33))))</f>
        <v/>
      </c>
      <c r="EH34" s="107" t="n"/>
      <c r="EI34" s="40">
        <f>IF(Invoer!BE54="","",Invoer!BE54)</f>
        <v/>
      </c>
      <c r="EJ34" s="71" t="n"/>
      <c r="EK34" s="120" t="n"/>
      <c r="EL34" s="119" t="n"/>
      <c r="EM34" s="107" t="n"/>
      <c r="EN34" s="72" t="n"/>
      <c r="EO34" s="107" t="n"/>
      <c r="EP34" s="107" t="n"/>
      <c r="EQ34" s="119" t="n"/>
      <c r="ER34" s="120" t="n"/>
      <c r="ES34" s="119" t="n"/>
      <c r="ET34" s="119" t="n"/>
      <c r="EU34" s="115">
        <f>IF(Invoer!AS54="","",Invoer!AS54)</f>
        <v/>
      </c>
      <c r="EV34" s="115">
        <f>IF(Invoer!AT54="","",Invoer!AT54)</f>
        <v/>
      </c>
      <c r="EW34" s="115">
        <f>IF(Invoer!AU54="","",Invoer!AU54)</f>
        <v/>
      </c>
      <c r="EX34" s="115">
        <f>IF(Invoer!AV54="","",Invoer!AV54)</f>
        <v/>
      </c>
      <c r="EY34" s="115">
        <f>IF(Invoer!AW54="","",Invoer!AW54)</f>
        <v/>
      </c>
      <c r="EZ34" s="115">
        <f>IF(Invoer!AX54="","",Invoer!AX54)</f>
        <v/>
      </c>
      <c r="FA34" s="115">
        <f>IF(Invoer!AY54="","",Invoer!AY54)</f>
        <v/>
      </c>
      <c r="FB34" s="115">
        <f>IF(Invoer!AZ54="","",Invoer!AZ54)</f>
        <v/>
      </c>
      <c r="FC34" s="115">
        <f>IF(Invoer!BA54="","",Invoer!BA54)</f>
        <v/>
      </c>
      <c r="FD34" s="115">
        <f>IF(Invoer!BB54="","",Invoer!BB54)</f>
        <v/>
      </c>
      <c r="FE34" s="348" t="n"/>
      <c r="FF34" s="118">
        <f>IF(AND(functie_1&lt;&gt;"",lambda&lt;&gt;""),lambda*m_schip,"")</f>
        <v/>
      </c>
      <c r="FG34" s="118">
        <f>IF(functie_1&lt;&gt;"",lambda_functie,"")</f>
        <v/>
      </c>
      <c r="FH34" s="118">
        <f>IF(functie_1&lt;&gt;"",ONB_missie,"")</f>
        <v/>
      </c>
      <c r="FI34" s="115">
        <f>IF(Lijst_componenten="","", IF(OR(FH34=0,FH34=""),FI33, IF(FI33="",FH34,1-(1-FH34)*(1-FI33))))</f>
        <v/>
      </c>
      <c r="FJ34" s="118">
        <f>IF(functie_1&lt;&gt;"",ONB_aanvang,"")</f>
        <v/>
      </c>
      <c r="FK34" s="115">
        <f>IF(Lijst_componenten="","", IF(OR(FJ34=0,FJ34=""),FK33, IF(FK33="",FJ34,1-(1-FJ34)*(1-FK33))))</f>
        <v/>
      </c>
      <c r="FL34" s="107" t="n"/>
      <c r="FM34" s="118">
        <f>IF(AND(functie_2&lt;&gt;"",lambda&lt;&gt;""),lambda*m_schip,"")</f>
        <v/>
      </c>
      <c r="FN34" s="118">
        <f>IF(functie_2&lt;&gt;"",lambda_functie,"")</f>
        <v/>
      </c>
      <c r="FO34" s="118">
        <f>IF(functie_2&lt;&gt;"",ONB_missie,"")</f>
        <v/>
      </c>
      <c r="FP34" s="115">
        <f>IF(Lijst_componenten="","", IF(OR(FO34=0,FO34=""),FP33, IF(FP33="",FO34,1-(1-FO34)*(1-FP33))))</f>
        <v/>
      </c>
      <c r="FQ34" s="118">
        <f>IF(functie_2&lt;&gt;"",ONB_aanvang,"")</f>
        <v/>
      </c>
      <c r="FR34" s="115">
        <f>IF(Lijst_componenten="","", IF(OR(FQ34=0,FQ34=""),FR33, IF(FR33="",FQ34,1-(1-FQ34)*(1-FR33))))</f>
        <v/>
      </c>
      <c r="FS34" s="107" t="n"/>
      <c r="FT34" s="118">
        <f>IF(AND(functie_3&lt;&gt;"",lambda&lt;&gt;""),lambda*m_schip,"")</f>
        <v/>
      </c>
      <c r="FU34" s="118">
        <f>IF(functie_3&lt;&gt;"",lambda_functie,"")</f>
        <v/>
      </c>
      <c r="FV34" s="118">
        <f>IF(functie_3&lt;&gt;"",ONB_missie,"")</f>
        <v/>
      </c>
      <c r="FW34" s="115">
        <f>IF(Lijst_componenten="","", IF(OR(FV34=0,FV34=""),FW33, IF(FW33="",FV34,1-(1-FV34)*(1-FW33))))</f>
        <v/>
      </c>
      <c r="FX34" s="118">
        <f>IF(functie_3&lt;&gt;"",ONB_aanvang,"")</f>
        <v/>
      </c>
      <c r="FY34" s="115">
        <f>IF(Lijst_componenten="","", IF(OR(FX34=0,FX34=""),FY33, IF(FY33="",FX34,1-(1-FX34)*(1-FY33))))</f>
        <v/>
      </c>
      <c r="FZ34" s="107" t="n"/>
      <c r="GA34" s="118">
        <f>IF(AND(functie_4&lt;&gt;"",lambda&lt;&gt;""),lambda*m_schip,"")</f>
        <v/>
      </c>
      <c r="GB34" s="118">
        <f>IF(functie_4&lt;&gt;"",lambda_functie,"")</f>
        <v/>
      </c>
      <c r="GC34" s="118">
        <f>IF(functie_4&lt;&gt;"",ONB_missie,"")</f>
        <v/>
      </c>
      <c r="GD34" s="115">
        <f>IF(Lijst_componenten="","", IF(OR(GC34=0,GC34=""),GD33, IF(GD33="",GC34,1-(1-GC34)*(1-GD33))))</f>
        <v/>
      </c>
      <c r="GE34" s="118">
        <f>IF(functie_4&lt;&gt;"",ONB_aanvang,"")</f>
        <v/>
      </c>
      <c r="GF34" s="115">
        <f>IF(Lijst_componenten="","", IF(OR(GE34=0,GE34=""),GF33, IF(GF33="",GE34,1-(1-GE34)*(1-GF33))))</f>
        <v/>
      </c>
      <c r="GG34" s="107" t="n"/>
      <c r="GH34" s="118">
        <f>IF(AND(functie_5&lt;&gt;"",lambda&lt;&gt;""),lambda*m_schip,"")</f>
        <v/>
      </c>
      <c r="GI34" s="118">
        <f>IF(functie_5&lt;&gt;"",lambda_functie,"")</f>
        <v/>
      </c>
      <c r="GJ34" s="118">
        <f>IF(functie_5&lt;&gt;"",ONB_missie,"")</f>
        <v/>
      </c>
      <c r="GK34" s="115">
        <f>IF(Lijst_componenten="","", IF(OR(GJ34=0,GJ34=""),GK33, IF(GK33="",GJ34,1-(1-GJ34)*(1-GK33))))</f>
        <v/>
      </c>
      <c r="GL34" s="118">
        <f>IF(functie_5&lt;&gt;"",ONB_aanvang,"")</f>
        <v/>
      </c>
      <c r="GM34" s="115">
        <f>IF(Lijst_componenten="","", IF(OR(GL34=0,GL34=""),GM33, IF(GM33="",GL34,1-(1-GL34)*(1-GM33))))</f>
        <v/>
      </c>
      <c r="GN34" s="107" t="n"/>
      <c r="GO34" s="118">
        <f>IF(AND(functie_6&lt;&gt;"",lambda&lt;&gt;""),lambda*m_schip,"")</f>
        <v/>
      </c>
      <c r="GP34" s="118">
        <f>IF(functie_6&lt;&gt;"",lambda_functie,"")</f>
        <v/>
      </c>
      <c r="GQ34" s="118">
        <f>IF(functie_6&lt;&gt;"",ONB_missie,"")</f>
        <v/>
      </c>
      <c r="GR34" s="115">
        <f>IF(Lijst_componenten="","", IF(OR(GQ34=0,GQ34=""),GR33, IF(GR33="",GQ34,1-(1-GQ34)*(1-GR33))))</f>
        <v/>
      </c>
      <c r="GS34" s="118">
        <f>IF(functie_6&lt;&gt;"",ONB_aanvang,"")</f>
        <v/>
      </c>
      <c r="GT34" s="115">
        <f>IF(Lijst_componenten="","", IF(OR(GS34=0,GS34=""),GT33, IF(GT33="",GS34,1-(1-GS34)*(1-GT33))))</f>
        <v/>
      </c>
      <c r="GU34" s="107" t="n"/>
      <c r="GV34" s="118">
        <f>IF(AND(functie_7&lt;&gt;"",lambda&lt;&gt;""),lambda*m_schip,"")</f>
        <v/>
      </c>
      <c r="GW34" s="118">
        <f>IF(functie_7&lt;&gt;"",lambda_functie,"")</f>
        <v/>
      </c>
      <c r="GX34" s="118">
        <f>IF(functie_7&lt;&gt;"",ONB_missie,"")</f>
        <v/>
      </c>
      <c r="GY34" s="115">
        <f>IF(Lijst_componenten="","", IF(OR(GX34=0,GX34=""),GY33, IF(GY33="",GX34,1-(1-GX34)*(1-GY33))))</f>
        <v/>
      </c>
      <c r="GZ34" s="118">
        <f>IF(functie_7&lt;&gt;"",ONB_aanvang,"")</f>
        <v/>
      </c>
      <c r="HA34" s="115">
        <f>IF(Lijst_componenten="","", IF(OR(GZ34=0,GZ34=""),HA33, IF(HA33="",GZ34,1-(1-GZ34)*(1-HA33))))</f>
        <v/>
      </c>
      <c r="HB34" s="107" t="n"/>
      <c r="HC34" s="118">
        <f>IF(AND(functie_8&lt;&gt;"",lambda&lt;&gt;""),lambda*m_schip,"")</f>
        <v/>
      </c>
      <c r="HD34" s="118">
        <f>IF(functie_8&lt;&gt;"",lambda_functie,"")</f>
        <v/>
      </c>
      <c r="HE34" s="118">
        <f>IF(functie_8&lt;&gt;"",ONB_missie,"")</f>
        <v/>
      </c>
      <c r="HF34" s="115">
        <f>IF(Lijst_componenten="","", IF(OR(HE34=0,HE34=""),HF33, IF(HF33="",HE34,1-(1-HE34)*(1-HF33))))</f>
        <v/>
      </c>
      <c r="HG34" s="118">
        <f>IF(functie_8&lt;&gt;"",ONB_aanvang,"")</f>
        <v/>
      </c>
      <c r="HH34" s="115">
        <f>IF(Lijst_componenten="","", IF(OR(HG34=0,HG34=""),HH33, IF(HH33="",HG34,1-(1-HG34)*(1-HH33))))</f>
        <v/>
      </c>
      <c r="HI34" s="107" t="n"/>
      <c r="HJ34" s="118">
        <f>IF(AND(functie_9&lt;&gt;"",lambda&lt;&gt;""),lambda*m_schip,"")</f>
        <v/>
      </c>
      <c r="HK34" s="118">
        <f>IF(functie_9&lt;&gt;"",lambda_functie,"")</f>
        <v/>
      </c>
      <c r="HL34" s="118">
        <f>IF(functie_9&lt;&gt;"",ONB_missie,"")</f>
        <v/>
      </c>
      <c r="HM34" s="115">
        <f>IF(Lijst_componenten="","", IF(OR(HL34=0,HL34=""),HM33, IF(HM33="",HL34,1-(1-HL34)*(1-HM33))))</f>
        <v/>
      </c>
      <c r="HN34" s="118">
        <f>IF(functie_9&lt;&gt;"",ONB_aanvang,"")</f>
        <v/>
      </c>
      <c r="HO34" s="115">
        <f>IF(Lijst_componenten="","", IF(OR(HN34=0,HN34=""),HO33, IF(HO33="",HN34,1-(1-HN34)*(1-HO33))))</f>
        <v/>
      </c>
      <c r="HP34" s="107" t="n"/>
      <c r="HQ34" s="118">
        <f>IF(AND(functie_10&lt;&gt;"",lambda&lt;&gt;""),lambda*m_schip,"")</f>
        <v/>
      </c>
      <c r="HR34" s="118">
        <f>IF(functie_10&lt;&gt;"",lambda_functie,"")</f>
        <v/>
      </c>
      <c r="HS34" s="118">
        <f>IF(functie_10&lt;&gt;"",ONB_missie,"")</f>
        <v/>
      </c>
      <c r="HT34" s="115">
        <f>IF(Lijst_componenten="","", IF(OR(HS34=0,HS34=""),HT33, IF(HT33="",HS34,1-(1-HS34)*(1-HT33))))</f>
        <v/>
      </c>
      <c r="HU34" s="118">
        <f>IF(functie_10&lt;&gt;"",ONB_aanvang,"")</f>
        <v/>
      </c>
      <c r="HV34" s="115">
        <f>IF(Lijst_componenten="","", IF(OR(HU34=0,HU34=""),HV33, IF(HV33="",HU34,1-(1-HU34)*(1-HV33))))</f>
        <v/>
      </c>
      <c r="HW34" s="353" t="n"/>
      <c r="HX34" s="113" t="n"/>
      <c r="HY34" s="353" t="n"/>
      <c r="HZ34" s="353" t="n"/>
      <c r="IA34" s="353" t="n"/>
      <c r="IB34" s="353" t="n"/>
      <c r="IC34" s="353" t="n"/>
      <c r="ID34" s="353" t="n"/>
      <c r="IE34" s="353" t="n"/>
      <c r="IF34" s="353" t="n"/>
      <c r="IG34" s="353" t="n"/>
      <c r="IH34" s="353" t="n"/>
      <c r="II34" s="353" t="n"/>
      <c r="IJ34" s="353" t="n"/>
      <c r="IK34" s="353" t="n"/>
      <c r="IL34" s="353" t="n"/>
      <c r="IM34" s="353" t="n"/>
      <c r="IN34" s="353" t="n"/>
      <c r="IO34" s="353" t="n"/>
      <c r="IP34" s="353" t="n"/>
      <c r="IQ34" s="353" t="n"/>
      <c r="IR34" s="353" t="n"/>
      <c r="IS34" s="353" t="n"/>
      <c r="IT34" s="353" t="n"/>
      <c r="IU34" s="353" t="n"/>
      <c r="IV34" s="353" t="n"/>
    </row>
    <row r="35" ht="12" customFormat="1" customHeight="1" s="353" thickBot="1">
      <c r="A35" s="99" t="n">
        <v>18</v>
      </c>
      <c r="B35" s="649">
        <f>N(Invoer!B55)</f>
        <v/>
      </c>
      <c r="C35" s="649">
        <f>N(Invoer!C55)</f>
        <v/>
      </c>
      <c r="D35" s="649">
        <f>N(Invoer!D55)</f>
        <v/>
      </c>
      <c r="E35" s="649">
        <f>N(Invoer!E55)</f>
        <v/>
      </c>
      <c r="F35" s="649">
        <f>N(Invoer!F55)</f>
        <v/>
      </c>
      <c r="G35" s="649">
        <f>N(Invoer!G55)</f>
        <v/>
      </c>
      <c r="H35" s="649">
        <f>N(Invoer!H55)</f>
        <v/>
      </c>
      <c r="I35" s="649">
        <f>N(Invoer!I55)</f>
        <v/>
      </c>
      <c r="J35" s="649">
        <f>N(Invoer!J55)</f>
        <v/>
      </c>
      <c r="K35" s="649">
        <f>N(Invoer!K55)</f>
        <v/>
      </c>
      <c r="L35" s="58">
        <f>IF(Invoer!L55="","",Invoer!L55)</f>
        <v/>
      </c>
      <c r="M35" s="650">
        <f>N(Invoer!M55)</f>
        <v/>
      </c>
      <c r="N35" s="58">
        <f>IF(Invoer!N55="","",Invoer!N55)</f>
        <v/>
      </c>
      <c r="O35" s="119" t="n"/>
      <c r="P35" s="96">
        <f>IF(Invoer!BK55="","",Invoer!BK55)</f>
        <v/>
      </c>
      <c r="Q35" s="96">
        <f>IF(Invoer!BL55="","",Invoer!BL55)</f>
        <v/>
      </c>
      <c r="R35" s="96">
        <f>IF(Invoer!BM55="","",Invoer!BM55)</f>
        <v/>
      </c>
      <c r="S35" s="96">
        <f>IF(Invoer!BN55="","",Invoer!BN55)</f>
        <v/>
      </c>
      <c r="T35" s="96">
        <f>IF(Invoer!BO55="","",Invoer!BO55)</f>
        <v/>
      </c>
      <c r="U35" s="96">
        <f>IF(Invoer!BP55="","",Invoer!BP55)</f>
        <v/>
      </c>
      <c r="V35" s="60" t="n"/>
      <c r="W35" s="115">
        <f>IF(Invoer!BQ55="","",Invoer!BQ55)</f>
        <v/>
      </c>
      <c r="X35" s="115">
        <f>IF(Invoer!BR55="","",Invoer!BR55)</f>
        <v/>
      </c>
      <c r="Y35" s="60" t="n"/>
      <c r="Z35" s="115">
        <f>IF(Invoer!BS55="","",Invoer!BS55)</f>
        <v/>
      </c>
      <c r="AA35" s="115">
        <f>IF(Invoer!BT55="","",Invoer!BT55)</f>
        <v/>
      </c>
      <c r="AB35" s="115">
        <f>IF(Invoer!P55="","",Invoer!P55)</f>
        <v/>
      </c>
      <c r="AC35" s="60" t="n"/>
      <c r="AD35" s="34">
        <f>IF(Invoer!Q55="","",Invoer!Q55)</f>
        <v/>
      </c>
      <c r="AE35" s="110" t="n"/>
      <c r="AF35" s="96">
        <f>IF(Invoer!R55="","",Invoer!R55)</f>
        <v/>
      </c>
      <c r="AG35" s="107" t="n"/>
      <c r="AH35" s="107" t="n"/>
      <c r="AI35" s="484">
        <f>IF(N(Invoer!S55)=0,"",Invoer!S55)</f>
        <v/>
      </c>
      <c r="AJ35" s="485">
        <f>IF(Invoer!T55="","",Invoer!T55)</f>
        <v/>
      </c>
      <c r="AK35" s="373" t="n"/>
      <c r="AL35" s="664">
        <f>IF(Invoer!U55="","",Invoer!U55)</f>
        <v/>
      </c>
      <c r="AM35" s="664">
        <f>IF(Invoer!V55="","",Invoer!V55)</f>
        <v/>
      </c>
      <c r="AN35" s="664">
        <f>IF(Invoer!W55="","",Invoer!W55)</f>
        <v/>
      </c>
      <c r="AO35" s="376" t="n"/>
      <c r="AP35" s="665">
        <f>N(Invoer!X55)</f>
        <v/>
      </c>
      <c r="AQ35" s="665">
        <f>N(Invoer!Y55)</f>
        <v/>
      </c>
      <c r="AR35" s="665">
        <f>N(Invoer!Z55)</f>
        <v/>
      </c>
      <c r="AS35" s="665">
        <f>N(Invoer!AA55)</f>
        <v/>
      </c>
      <c r="AT35" s="665">
        <f>N(Invoer!AB55)</f>
        <v/>
      </c>
      <c r="AU35" s="665">
        <f>N(Invoer!AC55)</f>
        <v/>
      </c>
      <c r="AV35" s="376" t="n"/>
      <c r="AW35" s="666">
        <f>N(Invoer!AD55)</f>
        <v/>
      </c>
      <c r="AX35" s="376" t="n"/>
      <c r="AY35" s="548">
        <f>IF(Periodiciteit&lt;&gt;"",(uurtarief_wd*(IF(ISNUMBER(tijd_wd),tijd_wd,0))+uurtarief_td*(IF(ISNUMBER(tijd_td),tijd_td,0))+uurtarief_sb*(IF(ISNUMBER(tijd_sb),tijd_sb,0))+uurtarief_rw*(IF(ISNUMBER(tijd_rw),tijd_rw,0))+uurtarief_d*(IF(ISNUMBER(tijd_d),tijd_d,0))+uurtarief_3*(IF(ISNUMBER(tijd_3),tijd_3,0)) +(IF(ISNUMBER(f_vast),f_vast,0)))*(IF(Perio_int="j",1,IF(Perio_int="m",12,IF(Perio_int="w",52,IF(Perio_int="d",365,0)))))*Periodiciteit*aantal_componenten,"")</f>
        <v/>
      </c>
      <c r="AZ35" s="376" t="n"/>
      <c r="BA35" s="549">
        <f>IF(N(Invoer!AE55)=0,"",Invoer!AE55)</f>
        <v/>
      </c>
      <c r="BB35" s="376" t="n"/>
      <c r="BC35" s="549">
        <f>IF(AND(Periodiciteit&lt;&gt;"",Kosten_res_pk&lt;&gt;""), Kosten_res_pk*(IF(Perio_int="j",1,IF(Perio_int="m",12,IF(Perio_int="w",52,IF(Perio_int="d",365,0)))))*Periodiciteit*aantal_componenten,"")</f>
        <v/>
      </c>
      <c r="BD35" s="376" t="n"/>
      <c r="BE35" s="378" t="n"/>
      <c r="BF35" s="376" t="n"/>
      <c r="BG35" s="549">
        <f>IF(Kosten_res_trade &lt;&gt;"", Kosten_res_trade, Kosten_res_jaar )</f>
        <v/>
      </c>
      <c r="BH35" s="376" t="n"/>
      <c r="BI35" s="550">
        <f>IF(N(Invoer!AF55)=0,"",Invoer!AF55)</f>
        <v/>
      </c>
      <c r="BJ35" s="376" t="n"/>
      <c r="BK35" s="550">
        <f>IF(AND(Periodiciteit&lt;&gt;"",Gevolgkosten&lt;&gt;""), Gevolgkosten*(IF(Perio_int="j",1,IF(Perio_int="m",12,IF(Perio_int="w",52,IF(Perio_int="d",365,0)))))*Periodiciteit*aantal_componenten,"")</f>
        <v/>
      </c>
      <c r="BL35" s="376" t="n"/>
      <c r="BM35" s="665">
        <f>N(Invoer!AJ55)</f>
        <v/>
      </c>
      <c r="BN35" s="667">
        <f>N(Invoer!AK55)</f>
        <v/>
      </c>
      <c r="BO35" s="667">
        <f>N(Invoer!AL55)</f>
        <v/>
      </c>
      <c r="BP35" s="667">
        <f>N(Invoer!AM55)</f>
        <v/>
      </c>
      <c r="BQ35" s="376" t="n"/>
      <c r="BR35" s="667">
        <f>N(Invoer!AN55)</f>
        <v/>
      </c>
      <c r="BS35" s="550">
        <f>IF(N(Invoer!AO55)=0,"",Invoer!AO55)</f>
        <v/>
      </c>
      <c r="BT35" s="667">
        <f>N(Invoer!AP55)</f>
        <v/>
      </c>
      <c r="BU35" s="376" t="n"/>
      <c r="BV35" s="667">
        <f>N(Invoer!AQ55)</f>
        <v/>
      </c>
      <c r="BW35" s="668">
        <f>N(Invoer!AR55)</f>
        <v/>
      </c>
      <c r="BX35" s="481" t="n">
        <v>0</v>
      </c>
      <c r="BY35" s="478" t="n">
        <v>0</v>
      </c>
      <c r="BZ35" s="107" t="n"/>
      <c r="CA35" s="64">
        <f>IF(N(Invoer!AG55)=0,"",Invoer!AG55)</f>
        <v/>
      </c>
      <c r="CB35" s="657">
        <f>N(Invoer!AH55)</f>
        <v/>
      </c>
      <c r="CC35" s="657">
        <f>N(Invoer!AI55)</f>
        <v/>
      </c>
      <c r="CD35" s="64">
        <f>IF( OR(CO_rep&lt;&gt;"",CO_verv&lt;&gt;""),IF(lambda_fabrikant&lt;&gt;"",IF(Uitvoeren_missie="N", (1-EXP(-aantal_componenten*lambda_fabrikant*Missieduur*p_gebruik_missie))/Missieduur/aantal_componenten,
IF(doorlooptijd_missie_i &lt;&gt; 0,((aantal_componenten*lambda_fabrikant*(1/doorlooptijd_missie_i)/(aantal_componenten*lambda_fabrikant+1/doorlooptijd_missie_i))*Missieduur*p_gebruik_missie+(aantal_componenten*lambda_fabrikant)^2/(aantal_componenten*lambda_fabrikant+1/doorlooptijd_missie_i)^2*(1-EXP(-(aantal_componenten*lambda_fabrikant+1/doorlooptijd_missie_i)*Missieduur*p_gebruik_missie)))/Missieduur/aantal_componenten,lambda_fabrikant*p_gebruik_missie)),""),"")</f>
        <v/>
      </c>
      <c r="CE35" s="64">
        <f>IF( OR(CO_rep&lt;&gt;"",CO_verv&lt;&gt;""),IF(lambda_fabrikant&lt;&gt;"",IF(uitvoeren_GO = "J", (1-EXP(-(aantal_componenten*lambda_fabrikant*p_gebruik_wal* interval_groot_onderhoud/8760*Missies_per_jaar*walduur)))/ (interval_groot_onderhoud/8760*Missies_per_jaar*walduur) / aantal_componenten,IF(doorlooptijd_wal_i &lt;&gt; 0,((aantal_componenten*lambda_fabrikant*(1/doorlooptijd_wal_i)/(aantal_componenten*lambda_fabrikant+1/doorlooptijd_wal_i))*walduur*p_gebruik_wal+(aantal_componenten*lambda_fabrikant)^2/(aantal_componenten*lambda_fabrikant+1/doorlooptijd_wal_i)^2*(1-EXP(-(aantal_componenten*lambda_fabrikant+1/doorlooptijd_wal_i)*walduur*p_gebruik_wal)))/walduur/aantal_componenten,lambda_fabrikant*p_gebruik_wal)),""),"")</f>
        <v/>
      </c>
      <c r="CF35" s="64">
        <f>IF( OR(CO_rep&lt;&gt;"",CO_verv&lt;&gt;""),
IF(OR(lambda_missie_g&lt;&gt;"",lambda_wal_g&lt;&gt;""), "", IF(Perio_int="j",1/8760, IF(Perio_int="m",12/8760, IF(Perio_int="w",52/8760, IF(Perio_int="d",365/8760,"error") ) ) )*Periodiciteit),"")</f>
        <v/>
      </c>
      <c r="CG35" s="66">
        <f>IF(OR(CO_rep&lt;&gt;"",CO_verv&lt;&gt;""),1,"")</f>
        <v/>
      </c>
      <c r="CH35" s="64">
        <f>IF( OR(CO_rep&lt;&gt;"",CO_verv&lt;&gt;""),IF(lambda_fabrikant="",lambda_kalendertijd*missiepercentage*8760/(Missies_per_jaar*Missieduur),""),"")</f>
        <v/>
      </c>
      <c r="CI35" s="64">
        <f>IF( OR(CO_rep&lt;&gt;"",CO_verv&lt;&gt;""),IF(lambda_fabrikant="",lambda_kalendertijd*(1-missiepercentage)*8760/(Missies_per_jaar*walduur),""),"")</f>
        <v/>
      </c>
      <c r="CJ35" s="64">
        <f>IF( OR(CO_rep&lt;&gt;"",CO_verv&lt;&gt;""),
IF(OR(lambda_missie_g&lt;&gt;"",lambda_wal_g&lt;&gt;""), (lambda_missie_g*Missieduur + lambda_wal_g*walduur)/8760*Missies_per_jaar, lambda_kalendertijd),"")</f>
        <v/>
      </c>
      <c r="CK35" s="64">
        <f>IF(lambda&lt;&gt;"",m_schip*lambda,"")</f>
        <v/>
      </c>
      <c r="CL35" s="65">
        <f>IF(OR(CO_rep&lt;&gt;"",CO_verv&lt;&gt;""),IF(Redundantie = "J","?",1),"")</f>
        <v/>
      </c>
      <c r="CM35" s="64">
        <f>IF(lambda&lt;&gt;"",IF(Redundantie="J",IF(lambda_missie_g&lt;&gt;"",lambda_missie_g*redundantie_factor,lambda_missie*redundantie_factor),IF(lambda_missie_g&lt;&gt;"",lambda_missie_g*m_schip,lambda_missie*m_schip)),"")</f>
        <v/>
      </c>
      <c r="CN35" s="64">
        <f>IF(lambda&lt;&gt;"",lambda_functie*Missieduur*Missies_per_jaar/8760,"")</f>
        <v/>
      </c>
      <c r="CO35" s="64">
        <f>IF(lambda&lt;&gt;"",IF(Redundantie="J",IF(lambda_wal_g&lt;&gt;"",lambda_wal_g*redundantie_factor,lambda_wal*redundantie_factor),IF(lambda_wal_g&lt;&gt;"",lambda_wal_g*m_schip,lambda_wal*m_schip)),"")</f>
        <v/>
      </c>
      <c r="CP35" s="64">
        <f>IF(lambda&lt;&gt;"",lambda_functie_wal*walduur*Missies_per_jaar/8760,"")</f>
        <v/>
      </c>
      <c r="CQ35" s="107" t="n"/>
      <c r="CR35" s="115">
        <f>IF(OR(CO_verv&lt;&gt;"",CO_rep&lt;&gt;""),aantal_componenten,"")</f>
        <v/>
      </c>
      <c r="CS35" s="66">
        <f>IF( OR(CO_rep&lt;&gt;"",CO_verv&lt;&gt;""),IF(Aantal_res_boord=0,1,IF(lambda_missie_g&lt;&gt;"",1-POISSON(Aantal_res_boord-1,m_schip*lambda_missie_g*Missieduur,TRUE),1-POISSON(Aantal_res_boord-1,m_schip*lambda_missie*Missieduur,TRUE))),"")</f>
        <v/>
      </c>
      <c r="CT35" s="107" t="n"/>
      <c r="CU35" s="115">
        <f>IF(OR(CO_verv&lt;&gt;"",CO_rep&lt;&gt;""),Aantal_fregatten * m_schip,"")</f>
        <v/>
      </c>
      <c r="CV35" s="65">
        <f>IF(AND(lambda&gt;0,Aantal_ini_wal&gt;=0,Aantal_res_wal&lt;&gt;""),IF(Aantal_ini_wal&gt;Aantal_res_wal,(Aantal_ini_wal-Aantal_res_wal)/(m_vloot*lambda*8760),0),"")</f>
        <v/>
      </c>
      <c r="CW35" s="65">
        <f>IF(AND(lambda&gt;0,Aantal_max_wal&gt;=0,Aantal_res_wal&lt;&gt;""),IF(Aantal_max_wal&gt;Aantal_res_wal,(Aantal_max_wal-Aantal_res_wal)/(m_vloot*lambda*8760),0),"")</f>
        <v/>
      </c>
      <c r="CX35" s="68">
        <f>IF(AND(ini_periode&lt;&gt;"",bestel_interval&lt;&gt;"",besteltijd&lt;&gt;""),IF(ini_periode&gt;=Looptijd,0,
IF(bestel_interval&gt;=(Looptijd-ini_periode),IF(besteltijd&lt;(Looptijd-ini_periode),besteltijd/8760/Looptijd,(Looptijd-ini_periode)/Looptijd),
IF(((Looptijd-ini_periode)-(INT((Looptijd-ini_periode)/(besteltijd/8760+bestel_interval))))&gt;=besteltijd/8760,(1+INT((Looptijd-ini_periode)/(besteltijd/8760+bestel_interval)))*(besteltijd/8760)/Looptijd,(INT((Looptijd-ini_periode)/(besteltijd/8760+bestel_interval))*(besteltijd/8760)+((Looptijd-ini_periode)-(INT((Looptijd-ini_periode)/(besteltijd/8760+bestel_interval)))*(besteltijd/8760+bestel_interval)))/Looptijd))),"")</f>
        <v/>
      </c>
      <c r="CY35" s="66">
        <f>IF( OR(CO_rep&lt;&gt;"",CO_verv&lt;&gt;""),
IF( Aantal_res_wal+(Aantal_fregatten-1)*Aantal_res_boord=0, 1*IF(percentage_looptijd_inbestelling&lt;&gt;"",percentage_looptijd_inbestelling,1),
(1-POISSON(Aantal_res_wal-1+(Aantal_fregatten-1)*Aantal_res_boord, m_vloot*lambda*besteltijd,TRUE))*IF(percentage_looptijd_inbestelling&lt;&gt;"",percentage_looptijd_inbestelling,1)),"")</f>
        <v/>
      </c>
      <c r="CZ35" s="66">
        <f>IF( OR(CO_rep&lt;&gt;"",CO_verv&lt;&gt;""),IF( Aantal_res_wal=0,1, 1-POISSON(Aantal_res_boord+Aantal_res_wal-1, m_vloot*lambda*besteltijd,TRUE) ),"")</f>
        <v/>
      </c>
      <c r="DA35" s="107" t="n"/>
      <c r="DB35" s="115">
        <f>IF(OR(Uitvoeren_missie&lt;&gt;"J",uitvoeren_bedrijf="J",uitvoeren_GO="J"), "",
IF(TAO_revisie&lt;&gt;"", TAO_rev_verv_tijd,
IF(TAO_vervanging&lt;&gt;"", TAO_rev_verv_tijd,
IF(PO_doorlooptijd&lt;&gt;0, PO_doorlooptijd,"" ))))</f>
        <v/>
      </c>
      <c r="DC35" s="107" t="n"/>
      <c r="DD35" s="115">
        <f>IF(AND(CO_rep&lt;&gt;"", Uitvoeren_missie="N"), Missieduur,
IF(AND(CO_rep&lt;&gt;"", Uitvoeren_missie="J"), CO_zoektijd + CO_rep_verv_tijd,""))</f>
        <v/>
      </c>
      <c r="DE35" s="115">
        <f>IF(AND(CO_verv&lt;&gt;"", Uitvoeren_missie="N"), Missieduur,
IF(AND(CO_verv&lt;&gt;"", Uitvoeren_missie="J"), CO_zoektijd + CO_rep_verv_tijd,""))</f>
        <v/>
      </c>
      <c r="DF35" s="115">
        <f>IF(AND(CO_verv&lt;&gt;"", Uitvoeren_missie="N"), Missieduur,
IF(AND(CO_verv&lt;&gt;"", Uitvoeren_missie="J"), wachttijd_invlieg+CO_zoektijd + CO_rep_verv_tijd,""))</f>
        <v/>
      </c>
      <c r="DG35" s="115">
        <f>IF(AND(CO_verv&lt;&gt;"", Uitvoeren_missie="N"), Missieduur,
IF(AND(CO_verv&lt;&gt;"", Uitvoeren_missie="J"), besteltijd + wachttijd_invlieg + CO_zoektijd + CO_rep_verv_tijd,""))</f>
        <v/>
      </c>
      <c r="DH35" s="115">
        <f> IF(AND(doorlooptijd_missie_met&lt;&gt;"",CO_verv&lt;&gt;""), P_op_boord* ( P_op_vloot*doorlooptijd_missie_zonder + (1-P_op_vloot)*doorlooptijd_invlieg ) + (1-P_op_boord)* doorlooptijd_missie_met, "")</f>
        <v/>
      </c>
      <c r="DI35" s="115">
        <f>IF(CO_rep&lt;&gt;"",doorlooptijd_missie_rep,IF(AND(CO_verv&lt;&gt;"",Aantal_res_boord&lt;&gt;"",Aantal_res_boord&lt;&gt;0),doorlooptijd_missie_met,IF(AND(CO_verv&lt;&gt;"",Aantal_max_wal&lt;&gt;"",Aantal_max_wal&lt;&gt;0),doorlooptijd_invlieg,doorlooptijd_missie_zonder)))</f>
        <v/>
      </c>
      <c r="DJ35" s="115">
        <f>IF(doorlooptijd_missie_verv&lt;&gt;"", doorlooptijd_missie_verv, IF(doorlooptijd_missie_rep&lt;&gt;"", doorlooptijd_missie_rep,""))</f>
        <v/>
      </c>
      <c r="DK35" s="107" t="n"/>
      <c r="DL35" s="115">
        <f> IF(CO_rep&lt;&gt;"", CO_zoektijd + CO_rep_verv_tijd,"")</f>
        <v/>
      </c>
      <c r="DM35" s="115">
        <f> IF(AND(CO_verv&lt;&gt;"",CO_rep=""), wachttijd_wal+CO_zoektijd + CO_rep_verv_tijd,"")</f>
        <v/>
      </c>
      <c r="DN35" s="115">
        <f> IF(AND(CO_verv&lt;&gt;"",CO_rep=""), wachttijd_invlieg+CO_zoektijd + CO_rep_verv_tijd,"")</f>
        <v/>
      </c>
      <c r="DO35" s="115">
        <f>IF(AND(CO_verv&lt;&gt;"",CO_rep=""), besteltijd + wachttijd_wal + CO_zoektijd + CO_rep_verv_tijd,"")</f>
        <v/>
      </c>
      <c r="DP35" s="69">
        <f> IF(AND(doorlooptijd_van_wal&lt;&gt;"",CO_verv&lt;&gt;""), P_op_vloot*doorlooptijd_wal_zonder +
(1-P_op_vloot)*(P_op_wal*Doorlooptijd_transport+ (1-P_op_wal)*doorlooptijd_van_wal ), "")</f>
        <v/>
      </c>
      <c r="DQ35" s="115">
        <f>IF(CO_rep&lt;&gt;"",doorlooptijd_wal_rep,IF(AND(CO_verv&lt;&gt;"",AND(Aantal_res_boord&lt;&gt;"",Aantal_res_boord&lt;&gt;0)),doorlooptijd_van_wal,IF(AND(CO_verv&lt;&gt;"",AND(Aantal_max_wal&lt;&gt;"",Aantal_max_wal&lt;&gt;0)),Doorlooptijd_transport,doorlooptijd_wal_zonder)))</f>
        <v/>
      </c>
      <c r="DR35" s="115">
        <f>IF(doorlooptijd_wal_verv&lt;&gt;"", doorlooptijd_wal_verv, IF(doorlooptijd_wal_rep&lt;&gt;"", doorlooptijd_wal_rep,""))</f>
        <v/>
      </c>
      <c r="DS35" s="107" t="n"/>
      <c r="DT35" s="64">
        <f>IF(OR(CO_verv&lt;&gt;"",CO_rep&lt;&gt;""),IF(lambda_functie&lt;&gt;"",ONB_missie_tussenberekening_1 + ONB_missie_tussenberekening_2,""),"")</f>
        <v/>
      </c>
      <c r="DU35" s="64">
        <f>IF(OR(CO_rep&lt;&gt;"",CO_verv&lt;&gt;""),IF(lambda_functie&lt;&gt;"",IF(Uitvoeren_missie="N",1-(1-EXP(-lambda_functie*Missieduur))/(lambda_functie*Missieduur),IF(CO_verv&lt;&gt;"",
(1-P_op_boord)*IF(doorlooptijd_missie_met&lt;&gt;0,lambda_functie/(lambda_functie+(1/doorlooptijd_missie_met))-lambda_functie/((lambda_functie+(1/doorlooptijd_missie_met))^2*Missieduur)*(1-EXP(-(lambda_functie+(1/doorlooptijd_missie_met))*Missieduur)),0)+P_op_boord*((1-P_op_vloot)*IF(doorlooptijd_invlieg&lt;&gt;0,lambda_functie/(lambda_functie+(1 /doorlooptijd_invlieg))-lambda_functie/((lambda_functie+(1/doorlooptijd_invlieg))^2*Missieduur)*(1-EXP(-(lambda_functie+(1/doorlooptijd_invlieg))*Missieduur)),0)+P_op_vloot*IF(doorlooptijd_missie_zonder&lt;&gt;0,lambda_functie/(lambda_functie+(1/doorlooptijd_missie_zonder))-lambda_functie/((lambda_functie+(1/doorlooptijd_missie_zonder))^2*Missieduur)*(1-EXP(-(lambda_functie+(1/doorlooptijd_missie_zonder))*Missieduur)),0)),0)),0),"")</f>
        <v/>
      </c>
      <c r="DV35" s="64">
        <f>IF(OR(CO_rep&lt;&gt;"",CO_verv&lt;&gt;""),IF(lambda_functie&lt;&gt;"",IF(CO_rep&lt;&gt;"",
IF(doorlooptijd_missie_rep&lt;&gt;0,lambda_functie/(lambda_functie+(1/doorlooptijd_missie_rep))-lambda_functie/((lambda_functie+(1/doorlooptijd_missie_rep))^2*Missieduur)*(1-EXP(-(lambda_functie+(1/doorlooptijd_missie_rep))*Missieduur)),0),0)),"")</f>
        <v/>
      </c>
      <c r="DW35" s="66">
        <f>IF(ONB_missie="","",IF(tot_ONB_missie&lt;&gt;0,ONB_missie/tot_ONB_missie,0))</f>
        <v/>
      </c>
      <c r="DX35" s="115">
        <f>IF(Lijst_componenten="","", IF(OR(DT35=0,DT35=""),DX34, IF(DX34="",DT35,1-(1-DT35)*(1-DX34))))</f>
        <v/>
      </c>
      <c r="DY35" s="107" t="n"/>
      <c r="DZ35" s="96">
        <f>IF(OR(CO_rep&lt;&gt;"",CO_verv&lt;&gt;""),IF(uitvoeren_GO="J",ONB_tussenberekening_1,IF(CO_rep&lt;&gt;"",ONB_tussenberekening_2,ONB_tussenberekening_3+ONB_tussenberekening_4+ONB_tussenberekening_5)),"")</f>
        <v/>
      </c>
      <c r="EA35" s="96">
        <f>IF(OR(CO_rep&lt;&gt;"",CO_verv&lt;&gt;""),IF(AND(OR(lambda_functie_kalendertijd&lt;&gt;"",lambda_functie_wal_kalendertijd&lt;&gt;""),uitvoeren_GO="J"),
1-(1-EXP(-(lambda_functie_kalendertijd+lambda_functie_wal_kalendertijd)*interval_groot_onderhoud))
/((lambda_functie_kalendertijd+lambda_functie_wal_kalendertijd)*interval_groot_onderhoud),0),"")</f>
        <v/>
      </c>
      <c r="EB35" s="96">
        <f>IF(OR(CO_rep&lt;&gt;"",CO_verv&lt;&gt;""),IF(AND(CO_rep &lt;&gt;"",OR(doorlooptijd_missie_rep&gt;=walduur,doorlooptijd_wal_rep &gt;= walduur)),IF(doorlooptijd_missie_rep &gt;= walduur,lambda_functie_kalendertijd / (lambda_functie_kalendertijd + 1/doorlooptijd_missie_rep),0)
+ IF(doorlooptijd_wal_rep &gt;= walduur,lambda_functie_wal_kalendertijd / (lambda_functie_wal_kalendertijd + 1/doorlooptijd_wal_rep),0),IF(CO_rep &lt;&gt; "",(1 -EXP(-(lambda_functie_wal_kalendertijd + 1 / doorlooptijd_wal_rep)*walduur))
* lambda_functie_wal_kalendertijd / (lambda_functie_wal_kalendertijd + 1/ doorlooptijd_wal_rep),0)),"")</f>
        <v/>
      </c>
      <c r="EC35" s="96">
        <f>IF(OR(CO_rep&lt;&gt;"",CO_verv&lt;&gt;""),IF(CO_verv&lt;&gt;"",
P_op_boord* ( P_op_vloot*IF(doorlooptijd_missie_zonder&gt;=walduur, lambda_functie_kalendertijd / (lambda_functie_kalendertijd + 1/doorlooptijd_missie_zonder),0)+ (1- P_op_vloot)*IF(doorlooptijd_invlieg&gt;=walduur, lambda_functie_kalendertijd / (lambda_functie_kalendertijd + 1 /doorlooptijd_invlieg),0) )
+ (1- P_op_boord) * IF(doorlooptijd_missie_met&gt;=walduur,lambda_functie_kalendertijd / (lambda_functie_kalendertijd + 1 / doorlooptijd_missie_met),0),0),"")</f>
        <v/>
      </c>
      <c r="ED35" s="96">
        <f>IF(OR(CO_rep&lt;&gt;"",CO_verv&lt;&gt;""),IF(CO_verv &lt;&gt;"",
(1-P_op_vloot)*((1 - P_op_wal)*IF(doorlooptijd_van_wal&gt;=walduur,lambda_functie_wal_kalendertijd/(lambda_functie_wal_kalendertijd+ 1/ doorlooptijd_van_wal),0)
+ P_op_wal*IF(Doorlooptijd_transport&gt;=walduur,lambda_functie_wal_kalendertijd / (lambda_functie_wal_kalendertijd +1/Doorlooptijd_transport),0) )+ P_op_vloot*IF(doorlooptijd_wal_zonder&gt;=walduur, lambda_functie_wal_kalendertijd / (lambda_functie_wal_kalendertijd + 1/ doorlooptijd_wal_zonder),0),0),"")</f>
        <v/>
      </c>
      <c r="EE35" s="96">
        <f>IF(OR(CO_rep&lt;&gt;"",CO_verv&lt;&gt;""),IF(CO_verv &lt;&gt;"",
(1-P_op_vloot)* ( (1- P_op_wal)* (IF(AND(doorlooptijd_van_wal&lt;&gt;0,doorlooptijd_van_wal&lt;walduur),(1 -EXP(-(lambda_functie_wal_kalendertijd + 1 / doorlooptijd_van_wal)*walduur))
* lambda_functie_wal_kalendertijd / (lambda_functie_wal_kalendertijd + 1/ doorlooptijd_van_wal),0))
+ P_op_wal*(IF(AND(Doorlooptijd_transport&lt;&gt;0,Doorlooptijd_transport&lt;walduur),(1 -EXP(-(lambda_functie_wal_kalendertijd + 1 / Doorlooptijd_transport)*walduur))
* lambda_functie_wal_kalendertijd /(lambda_functie_wal_kalendertijd + 1/ Doorlooptijd_transport),0)))
+ P_op_vloot*(IF(AND(doorlooptijd_wal_zonder&lt;&gt;0,doorlooptijd_wal_zonder&lt;walduur),(1 -EXP(-(lambda_functie_wal_kalendertijd + 1 / doorlooptijd_wal_zonder)*walduur))
* lambda_functie_wal_kalendertijd / (lambda_functie_wal_kalendertijd + 1/ doorlooptijd_wal_zonder),0)),0),"")</f>
        <v/>
      </c>
      <c r="EF35" s="66">
        <f>IF(ONB_aanvang="","",IF(tot_ONB_aanvang&lt;&gt;0,ONB_aanvang/tot_ONB_aanvang,0))</f>
        <v/>
      </c>
      <c r="EG35" s="115">
        <f>IF(Lijst_componenten="","", IF(OR(DZ35=0,DZ35=""),EG34, IF(EG34="",DZ35,1-(1-DZ35)*(1-EG34))))</f>
        <v/>
      </c>
      <c r="EH35" s="107" t="n"/>
      <c r="EI35" s="40">
        <f>IF(Invoer!BE55="","",Invoer!BE55)</f>
        <v/>
      </c>
      <c r="EJ35" s="71" t="n"/>
      <c r="EK35" s="120" t="n"/>
      <c r="EL35" s="119" t="n"/>
      <c r="EM35" s="107" t="n"/>
      <c r="EN35" s="72" t="n"/>
      <c r="EO35" s="107" t="n"/>
      <c r="EP35" s="107" t="n"/>
      <c r="EQ35" s="119" t="n"/>
      <c r="ER35" s="120" t="n"/>
      <c r="ES35" s="119" t="n"/>
      <c r="ET35" s="119" t="n"/>
      <c r="EU35" s="115">
        <f>IF(Invoer!AS55="","",Invoer!AS55)</f>
        <v/>
      </c>
      <c r="EV35" s="115">
        <f>IF(Invoer!AT55="","",Invoer!AT55)</f>
        <v/>
      </c>
      <c r="EW35" s="115">
        <f>IF(Invoer!AU55="","",Invoer!AU55)</f>
        <v/>
      </c>
      <c r="EX35" s="115">
        <f>IF(Invoer!AV55="","",Invoer!AV55)</f>
        <v/>
      </c>
      <c r="EY35" s="115">
        <f>IF(Invoer!AW55="","",Invoer!AW55)</f>
        <v/>
      </c>
      <c r="EZ35" s="115">
        <f>IF(Invoer!AX55="","",Invoer!AX55)</f>
        <v/>
      </c>
      <c r="FA35" s="115">
        <f>IF(Invoer!AY55="","",Invoer!AY55)</f>
        <v/>
      </c>
      <c r="FB35" s="115">
        <f>IF(Invoer!AZ55="","",Invoer!AZ55)</f>
        <v/>
      </c>
      <c r="FC35" s="115">
        <f>IF(Invoer!BA55="","",Invoer!BA55)</f>
        <v/>
      </c>
      <c r="FD35" s="115">
        <f>IF(Invoer!BB55="","",Invoer!BB55)</f>
        <v/>
      </c>
      <c r="FE35" s="348" t="n"/>
      <c r="FF35" s="118">
        <f>IF(AND(functie_1&lt;&gt;"",lambda&lt;&gt;""),lambda*m_schip,"")</f>
        <v/>
      </c>
      <c r="FG35" s="118">
        <f>IF(functie_1&lt;&gt;"",lambda_functie,"")</f>
        <v/>
      </c>
      <c r="FH35" s="118">
        <f>IF(functie_1&lt;&gt;"",ONB_missie,"")</f>
        <v/>
      </c>
      <c r="FI35" s="115">
        <f>IF(Lijst_componenten="","", IF(OR(FH35=0,FH35=""),FI34, IF(FI34="",FH35,1-(1-FH35)*(1-FI34))))</f>
        <v/>
      </c>
      <c r="FJ35" s="118">
        <f>IF(functie_1&lt;&gt;"",ONB_aanvang,"")</f>
        <v/>
      </c>
      <c r="FK35" s="115">
        <f>IF(Lijst_componenten="","", IF(OR(FJ35=0,FJ35=""),FK34, IF(FK34="",FJ35,1-(1-FJ35)*(1-FK34))))</f>
        <v/>
      </c>
      <c r="FL35" s="107" t="n"/>
      <c r="FM35" s="118">
        <f>IF(AND(functie_2&lt;&gt;"",lambda&lt;&gt;""),lambda*m_schip,"")</f>
        <v/>
      </c>
      <c r="FN35" s="118">
        <f>IF(functie_2&lt;&gt;"",lambda_functie,"")</f>
        <v/>
      </c>
      <c r="FO35" s="118">
        <f>IF(functie_2&lt;&gt;"",ONB_missie,"")</f>
        <v/>
      </c>
      <c r="FP35" s="115">
        <f>IF(Lijst_componenten="","", IF(OR(FO35=0,FO35=""),FP34, IF(FP34="",FO35,1-(1-FO35)*(1-FP34))))</f>
        <v/>
      </c>
      <c r="FQ35" s="118">
        <f>IF(functie_2&lt;&gt;"",ONB_aanvang,"")</f>
        <v/>
      </c>
      <c r="FR35" s="115">
        <f>IF(Lijst_componenten="","", IF(OR(FQ35=0,FQ35=""),FR34, IF(FR34="",FQ35,1-(1-FQ35)*(1-FR34))))</f>
        <v/>
      </c>
      <c r="FS35" s="107" t="n"/>
      <c r="FT35" s="118">
        <f>IF(AND(functie_3&lt;&gt;"",lambda&lt;&gt;""),lambda*m_schip,"")</f>
        <v/>
      </c>
      <c r="FU35" s="118">
        <f>IF(functie_3&lt;&gt;"",lambda_functie,"")</f>
        <v/>
      </c>
      <c r="FV35" s="118">
        <f>IF(functie_3&lt;&gt;"",ONB_missie,"")</f>
        <v/>
      </c>
      <c r="FW35" s="115">
        <f>IF(Lijst_componenten="","", IF(OR(FV35=0,FV35=""),FW34, IF(FW34="",FV35,1-(1-FV35)*(1-FW34))))</f>
        <v/>
      </c>
      <c r="FX35" s="118">
        <f>IF(functie_3&lt;&gt;"",ONB_aanvang,"")</f>
        <v/>
      </c>
      <c r="FY35" s="115">
        <f>IF(Lijst_componenten="","", IF(OR(FX35=0,FX35=""),FY34, IF(FY34="",FX35,1-(1-FX35)*(1-FY34))))</f>
        <v/>
      </c>
      <c r="FZ35" s="107" t="n"/>
      <c r="GA35" s="118">
        <f>IF(AND(functie_4&lt;&gt;"",lambda&lt;&gt;""),lambda*m_schip,"")</f>
        <v/>
      </c>
      <c r="GB35" s="118">
        <f>IF(functie_4&lt;&gt;"",lambda_functie,"")</f>
        <v/>
      </c>
      <c r="GC35" s="118">
        <f>IF(functie_4&lt;&gt;"",ONB_missie,"")</f>
        <v/>
      </c>
      <c r="GD35" s="115">
        <f>IF(Lijst_componenten="","", IF(OR(GC35=0,GC35=""),GD34, IF(GD34="",GC35,1-(1-GC35)*(1-GD34))))</f>
        <v/>
      </c>
      <c r="GE35" s="118">
        <f>IF(functie_4&lt;&gt;"",ONB_aanvang,"")</f>
        <v/>
      </c>
      <c r="GF35" s="115">
        <f>IF(Lijst_componenten="","", IF(OR(GE35=0,GE35=""),GF34, IF(GF34="",GE35,1-(1-GE35)*(1-GF34))))</f>
        <v/>
      </c>
      <c r="GG35" s="107" t="n"/>
      <c r="GH35" s="118">
        <f>IF(AND(functie_5&lt;&gt;"",lambda&lt;&gt;""),lambda*m_schip,"")</f>
        <v/>
      </c>
      <c r="GI35" s="118">
        <f>IF(functie_5&lt;&gt;"",lambda_functie,"")</f>
        <v/>
      </c>
      <c r="GJ35" s="118">
        <f>IF(functie_5&lt;&gt;"",ONB_missie,"")</f>
        <v/>
      </c>
      <c r="GK35" s="115">
        <f>IF(Lijst_componenten="","", IF(OR(GJ35=0,GJ35=""),GK34, IF(GK34="",GJ35,1-(1-GJ35)*(1-GK34))))</f>
        <v/>
      </c>
      <c r="GL35" s="118">
        <f>IF(functie_5&lt;&gt;"",ONB_aanvang,"")</f>
        <v/>
      </c>
      <c r="GM35" s="115">
        <f>IF(Lijst_componenten="","", IF(OR(GL35=0,GL35=""),GM34, IF(GM34="",GL35,1-(1-GL35)*(1-GM34))))</f>
        <v/>
      </c>
      <c r="GN35" s="107" t="n"/>
      <c r="GO35" s="118">
        <f>IF(AND(functie_6&lt;&gt;"",lambda&lt;&gt;""),lambda*m_schip,"")</f>
        <v/>
      </c>
      <c r="GP35" s="118">
        <f>IF(functie_6&lt;&gt;"",lambda_functie,"")</f>
        <v/>
      </c>
      <c r="GQ35" s="118">
        <f>IF(functie_6&lt;&gt;"",ONB_missie,"")</f>
        <v/>
      </c>
      <c r="GR35" s="115">
        <f>IF(Lijst_componenten="","", IF(OR(GQ35=0,GQ35=""),GR34, IF(GR34="",GQ35,1-(1-GQ35)*(1-GR34))))</f>
        <v/>
      </c>
      <c r="GS35" s="118">
        <f>IF(functie_6&lt;&gt;"",ONB_aanvang,"")</f>
        <v/>
      </c>
      <c r="GT35" s="115">
        <f>IF(Lijst_componenten="","", IF(OR(GS35=0,GS35=""),GT34, IF(GT34="",GS35,1-(1-GS35)*(1-GT34))))</f>
        <v/>
      </c>
      <c r="GU35" s="107" t="n"/>
      <c r="GV35" s="118">
        <f>IF(AND(functie_7&lt;&gt;"",lambda&lt;&gt;""),lambda*m_schip,"")</f>
        <v/>
      </c>
      <c r="GW35" s="118">
        <f>IF(functie_7&lt;&gt;"",lambda_functie,"")</f>
        <v/>
      </c>
      <c r="GX35" s="118">
        <f>IF(functie_7&lt;&gt;"",ONB_missie,"")</f>
        <v/>
      </c>
      <c r="GY35" s="115">
        <f>IF(Lijst_componenten="","", IF(OR(GX35=0,GX35=""),GY34, IF(GY34="",GX35,1-(1-GX35)*(1-GY34))))</f>
        <v/>
      </c>
      <c r="GZ35" s="118">
        <f>IF(functie_7&lt;&gt;"",ONB_aanvang,"")</f>
        <v/>
      </c>
      <c r="HA35" s="115">
        <f>IF(Lijst_componenten="","", IF(OR(GZ35=0,GZ35=""),HA34, IF(HA34="",GZ35,1-(1-GZ35)*(1-HA34))))</f>
        <v/>
      </c>
      <c r="HB35" s="107" t="n"/>
      <c r="HC35" s="118">
        <f>IF(AND(functie_8&lt;&gt;"",lambda&lt;&gt;""),lambda*m_schip,"")</f>
        <v/>
      </c>
      <c r="HD35" s="118">
        <f>IF(functie_8&lt;&gt;"",lambda_functie,"")</f>
        <v/>
      </c>
      <c r="HE35" s="118">
        <f>IF(functie_8&lt;&gt;"",ONB_missie,"")</f>
        <v/>
      </c>
      <c r="HF35" s="115">
        <f>IF(Lijst_componenten="","", IF(OR(HE35=0,HE35=""),HF34, IF(HF34="",HE35,1-(1-HE35)*(1-HF34))))</f>
        <v/>
      </c>
      <c r="HG35" s="118">
        <f>IF(functie_8&lt;&gt;"",ONB_aanvang,"")</f>
        <v/>
      </c>
      <c r="HH35" s="115">
        <f>IF(Lijst_componenten="","", IF(OR(HG35=0,HG35=""),HH34, IF(HH34="",HG35,1-(1-HG35)*(1-HH34))))</f>
        <v/>
      </c>
      <c r="HI35" s="107" t="n"/>
      <c r="HJ35" s="118">
        <f>IF(AND(functie_9&lt;&gt;"",lambda&lt;&gt;""),lambda*m_schip,"")</f>
        <v/>
      </c>
      <c r="HK35" s="118">
        <f>IF(functie_9&lt;&gt;"",lambda_functie,"")</f>
        <v/>
      </c>
      <c r="HL35" s="118">
        <f>IF(functie_9&lt;&gt;"",ONB_missie,"")</f>
        <v/>
      </c>
      <c r="HM35" s="115">
        <f>IF(Lijst_componenten="","", IF(OR(HL35=0,HL35=""),HM34, IF(HM34="",HL35,1-(1-HL35)*(1-HM34))))</f>
        <v/>
      </c>
      <c r="HN35" s="118">
        <f>IF(functie_9&lt;&gt;"",ONB_aanvang,"")</f>
        <v/>
      </c>
      <c r="HO35" s="115">
        <f>IF(Lijst_componenten="","", IF(OR(HN35=0,HN35=""),HO34, IF(HO34="",HN35,1-(1-HN35)*(1-HO34))))</f>
        <v/>
      </c>
      <c r="HP35" s="107" t="n"/>
      <c r="HQ35" s="118">
        <f>IF(AND(functie_10&lt;&gt;"",lambda&lt;&gt;""),lambda*m_schip,"")</f>
        <v/>
      </c>
      <c r="HR35" s="118">
        <f>IF(functie_10&lt;&gt;"",lambda_functie,"")</f>
        <v/>
      </c>
      <c r="HS35" s="118">
        <f>IF(functie_10&lt;&gt;"",ONB_missie,"")</f>
        <v/>
      </c>
      <c r="HT35" s="115">
        <f>IF(Lijst_componenten="","", IF(OR(HS35=0,HS35=""),HT34, IF(HT34="",HS35,1-(1-HS35)*(1-HT34))))</f>
        <v/>
      </c>
      <c r="HU35" s="118">
        <f>IF(functie_10&lt;&gt;"",ONB_aanvang,"")</f>
        <v/>
      </c>
      <c r="HV35" s="115">
        <f>IF(Lijst_componenten="","", IF(OR(HU35=0,HU35=""),HV34, IF(HV34="",HU35,1-(1-HU35)*(1-HV34))))</f>
        <v/>
      </c>
      <c r="HW35" s="353" t="n"/>
      <c r="HX35" s="113" t="n"/>
      <c r="HY35" s="353" t="n"/>
      <c r="HZ35" s="353" t="n"/>
      <c r="IA35" s="353" t="n"/>
      <c r="IB35" s="353" t="n"/>
      <c r="IC35" s="353" t="n"/>
      <c r="ID35" s="353" t="n"/>
      <c r="IE35" s="353" t="n"/>
      <c r="IF35" s="353" t="n"/>
      <c r="IG35" s="353" t="n"/>
      <c r="IH35" s="353" t="n"/>
      <c r="II35" s="353" t="n"/>
      <c r="IJ35" s="353" t="n"/>
      <c r="IK35" s="353" t="n"/>
      <c r="IL35" s="353" t="n"/>
      <c r="IM35" s="353" t="n"/>
      <c r="IN35" s="353" t="n"/>
      <c r="IO35" s="353" t="n"/>
      <c r="IP35" s="353" t="n"/>
      <c r="IQ35" s="353" t="n"/>
      <c r="IR35" s="353" t="n"/>
      <c r="IS35" s="353" t="n"/>
      <c r="IT35" s="353" t="n"/>
      <c r="IU35" s="353" t="n"/>
      <c r="IV35" s="353" t="n"/>
    </row>
    <row r="36" ht="12" customHeight="1" s="189">
      <c r="A36" s="99" t="n"/>
      <c r="B36" s="669">
        <f>N(Invoer!B56)</f>
        <v/>
      </c>
      <c r="C36" s="669">
        <f>N(Invoer!C56)</f>
        <v/>
      </c>
      <c r="D36" s="669">
        <f>N(Invoer!D56)</f>
        <v/>
      </c>
      <c r="E36" s="669">
        <f>N(Invoer!E56)</f>
        <v/>
      </c>
      <c r="F36" s="669">
        <f>N(Invoer!F56)</f>
        <v/>
      </c>
      <c r="G36" s="669">
        <f>N(Invoer!G56)</f>
        <v/>
      </c>
      <c r="H36" s="669">
        <f>N(Invoer!H56)</f>
        <v/>
      </c>
      <c r="I36" s="669">
        <f>N(Invoer!I56)</f>
        <v/>
      </c>
      <c r="J36" s="669">
        <f>N(Invoer!J56)</f>
        <v/>
      </c>
      <c r="K36" s="669">
        <f>N(Invoer!K56)</f>
        <v/>
      </c>
      <c r="L36" s="99">
        <f>IF(Invoer!L56="","",Invoer!L56)</f>
        <v/>
      </c>
      <c r="M36" s="670">
        <f>N(Invoer!M56)</f>
        <v/>
      </c>
      <c r="N36" s="99">
        <f>IF(Invoer!N56="","",Invoer!N56)</f>
        <v/>
      </c>
      <c r="O36" s="119" t="n"/>
      <c r="P36" s="110">
        <f>IF(Invoer!BK56="","",Invoer!BK56)</f>
        <v/>
      </c>
      <c r="Q36" s="110">
        <f>IF(Invoer!BL56="","",Invoer!BL56)</f>
        <v/>
      </c>
      <c r="R36" s="110">
        <f>IF(Invoer!BM56="","",Invoer!BM56)</f>
        <v/>
      </c>
      <c r="S36" s="110">
        <f>IF(Invoer!BN56="","",Invoer!BN56)</f>
        <v/>
      </c>
      <c r="T36" s="110">
        <f>IF(Invoer!BO56="","",Invoer!BO56)</f>
        <v/>
      </c>
      <c r="U36" s="110">
        <f>IF(Invoer!BP56="","",Invoer!BP56)</f>
        <v/>
      </c>
      <c r="V36" s="107" t="n"/>
      <c r="W36" s="107">
        <f>IF(Invoer!BQ56="","",Invoer!BQ56)</f>
        <v/>
      </c>
      <c r="X36" s="107">
        <f>IF(Invoer!BR56="","",Invoer!BR56)</f>
        <v/>
      </c>
      <c r="Y36" s="107" t="n"/>
      <c r="Z36" s="107">
        <f>IF(Invoer!BS56="","",Invoer!BS56)</f>
        <v/>
      </c>
      <c r="AA36" s="107">
        <f>IF(Invoer!BT56="","",Invoer!BT56)</f>
        <v/>
      </c>
      <c r="AB36" s="107">
        <f>IF(Invoer!P56="","",Invoer!P56)</f>
        <v/>
      </c>
      <c r="AC36" s="107" t="n"/>
      <c r="AD36" s="101">
        <f>IF(Invoer!Q56="","",Invoer!Q56)</f>
        <v/>
      </c>
      <c r="AE36" s="110" t="n"/>
      <c r="AF36" s="110">
        <f>IF(Invoer!R56="","",Invoer!R56)</f>
        <v/>
      </c>
      <c r="AG36" s="107" t="n"/>
      <c r="AH36" s="107" t="n"/>
      <c r="AI36" s="105">
        <f>IF(N(Invoer!S56)=0,"",Invoer!S56)</f>
        <v/>
      </c>
      <c r="AJ36" s="110">
        <f>IF(Invoer!T56="","",Invoer!T56)</f>
        <v/>
      </c>
      <c r="AK36" s="110" t="n"/>
      <c r="AL36" s="110">
        <f>IF(Invoer!U56="","",Invoer!U56)</f>
        <v/>
      </c>
      <c r="AM36" s="110">
        <f>IF(Invoer!V56="","",Invoer!V56)</f>
        <v/>
      </c>
      <c r="AN36" s="110">
        <f>IF(Invoer!W56="","",Invoer!W56)</f>
        <v/>
      </c>
      <c r="AO36" s="107" t="n"/>
      <c r="AP36" s="671">
        <f>N(Invoer!X56)</f>
        <v/>
      </c>
      <c r="AQ36" s="671">
        <f>N(Invoer!Y56)</f>
        <v/>
      </c>
      <c r="AR36" s="671">
        <f>N(Invoer!Z56)</f>
        <v/>
      </c>
      <c r="AS36" s="671">
        <f>N(Invoer!AA56)</f>
        <v/>
      </c>
      <c r="AT36" s="671">
        <f>N(Invoer!AB56)</f>
        <v/>
      </c>
      <c r="AU36" s="671">
        <f>N(Invoer!AC56)</f>
        <v/>
      </c>
      <c r="AV36" s="107" t="n"/>
      <c r="AW36" s="672">
        <f>N(Invoer!AD56)</f>
        <v/>
      </c>
      <c r="AX36" s="107" t="n"/>
      <c r="AY36" s="102" t="n"/>
      <c r="AZ36" s="107" t="n"/>
      <c r="BA36" s="103">
        <f>IF(N(Invoer!AE56)=0,"",Invoer!AE56)</f>
        <v/>
      </c>
      <c r="BB36" s="107" t="n"/>
      <c r="BC36" s="103" t="n"/>
      <c r="BD36" s="107" t="n"/>
      <c r="BE36" s="107" t="n"/>
      <c r="BF36" s="107" t="n"/>
      <c r="BG36" s="103" t="n"/>
      <c r="BH36" s="107" t="n"/>
      <c r="BI36" s="107">
        <f>IF(N(Invoer!AF56)=0,"",Invoer!AF56)</f>
        <v/>
      </c>
      <c r="BJ36" s="107" t="n"/>
      <c r="BK36" s="107" t="n"/>
      <c r="BL36" s="107" t="n"/>
      <c r="BM36" s="673">
        <f>N(Invoer!AJ56)</f>
        <v/>
      </c>
      <c r="BN36" s="669">
        <f>N(Invoer!AK56)</f>
        <v/>
      </c>
      <c r="BO36" s="669">
        <f>N(Invoer!AL56)</f>
        <v/>
      </c>
      <c r="BP36" s="669">
        <f>N(Invoer!AM56)</f>
        <v/>
      </c>
      <c r="BQ36" s="107" t="n"/>
      <c r="BR36" s="669">
        <f>N(Invoer!AN56)</f>
        <v/>
      </c>
      <c r="BS36" s="107">
        <f>IF(N(Invoer!AO56)=0,"",Invoer!AO56)</f>
        <v/>
      </c>
      <c r="BT36" s="669">
        <f>N(Invoer!AP56)</f>
        <v/>
      </c>
      <c r="BU36" s="107" t="n"/>
      <c r="BV36" s="669">
        <f>N(Invoer!AQ56)</f>
        <v/>
      </c>
      <c r="BW36" s="669">
        <f>N(Invoer!AR56)</f>
        <v/>
      </c>
      <c r="BX36" s="107" t="n"/>
      <c r="BY36" s="107" t="n"/>
      <c r="BZ36" s="107" t="n"/>
      <c r="CA36" s="105">
        <f>IF(N(Invoer!AG56)=0,"",Invoer!AG56)</f>
        <v/>
      </c>
      <c r="CB36" s="674">
        <f>N(Invoer!AH56)</f>
        <v/>
      </c>
      <c r="CC36" s="674">
        <f>N(Invoer!AI56)</f>
        <v/>
      </c>
      <c r="CD36" s="105" t="n"/>
      <c r="CE36" s="105" t="n"/>
      <c r="CF36" s="105" t="n"/>
      <c r="CG36" s="106" t="n"/>
      <c r="CH36" s="105" t="n"/>
      <c r="CI36" s="105" t="n"/>
      <c r="CJ36" s="105" t="n"/>
      <c r="CK36" s="105" t="n"/>
      <c r="CL36" s="72" t="n"/>
      <c r="CM36" s="105" t="n"/>
      <c r="CN36" s="105" t="n"/>
      <c r="CO36" s="105" t="n"/>
      <c r="CP36" s="105" t="n"/>
      <c r="CQ36" s="107" t="n"/>
      <c r="CR36" s="107" t="n"/>
      <c r="CS36" s="106" t="n"/>
      <c r="CT36" s="107" t="n"/>
      <c r="CU36" s="107" t="n"/>
      <c r="CV36" s="72" t="n"/>
      <c r="CW36" s="72" t="n"/>
      <c r="CX36" s="108" t="n"/>
      <c r="CY36" s="106" t="n"/>
      <c r="CZ36" s="106" t="n"/>
      <c r="DA36" s="107" t="n"/>
      <c r="DB36" s="107" t="n"/>
      <c r="DC36" s="107" t="n"/>
      <c r="DD36" s="107" t="n"/>
      <c r="DE36" s="107" t="n"/>
      <c r="DF36" s="107" t="n"/>
      <c r="DG36" s="107" t="n"/>
      <c r="DH36" s="107" t="n"/>
      <c r="DI36" s="107" t="n"/>
      <c r="DJ36" s="107" t="n"/>
      <c r="DK36" s="107" t="n"/>
      <c r="DL36" s="107" t="n"/>
      <c r="DM36" s="107" t="n"/>
      <c r="DN36" s="107" t="n"/>
      <c r="DO36" s="107" t="n"/>
      <c r="DP36" s="109" t="n"/>
      <c r="DQ36" s="107" t="n"/>
      <c r="DR36" s="107" t="n"/>
      <c r="DS36" s="107" t="n"/>
      <c r="DT36" s="105" t="n"/>
      <c r="DU36" s="105" t="n"/>
      <c r="DV36" s="105" t="n"/>
      <c r="DW36" s="106" t="n"/>
      <c r="DX36" s="107" t="n"/>
      <c r="DY36" s="107" t="n"/>
      <c r="DZ36" s="110" t="n"/>
      <c r="EA36" s="110" t="n"/>
      <c r="EB36" s="110" t="n"/>
      <c r="EC36" s="110" t="n"/>
      <c r="ED36" s="110" t="n"/>
      <c r="EE36" s="110" t="n"/>
      <c r="EF36" s="106" t="n"/>
      <c r="EG36" s="107" t="n"/>
      <c r="EH36" s="107" t="n"/>
      <c r="EI36" s="111">
        <f>IF(Invoer!BE56="","",Invoer!BE56)</f>
        <v/>
      </c>
      <c r="EJ36" s="71" t="n"/>
      <c r="EK36" s="120" t="n"/>
      <c r="EL36" s="119" t="n"/>
      <c r="EM36" s="107" t="n"/>
      <c r="EN36" s="72" t="n"/>
      <c r="EO36" s="107" t="n"/>
      <c r="EP36" s="107" t="n"/>
      <c r="EQ36" s="119" t="n"/>
      <c r="ER36" s="120" t="n"/>
      <c r="ES36" s="119" t="n"/>
      <c r="ET36" s="119" t="n"/>
      <c r="EU36" s="107">
        <f>IF(Invoer!AS56="","",Invoer!AS56)</f>
        <v/>
      </c>
      <c r="EV36" s="107">
        <f>IF(Invoer!AT56="","",Invoer!AT56)</f>
        <v/>
      </c>
      <c r="EW36" s="107">
        <f>IF(Invoer!AU56="","",Invoer!AU56)</f>
        <v/>
      </c>
      <c r="EX36" s="107">
        <f>IF(Invoer!AV56="","",Invoer!AV56)</f>
        <v/>
      </c>
      <c r="EY36" s="107">
        <f>IF(Invoer!AW56="","",Invoer!AW56)</f>
        <v/>
      </c>
      <c r="EZ36" s="107">
        <f>IF(Invoer!AX56="","",Invoer!AX56)</f>
        <v/>
      </c>
      <c r="FA36" s="107">
        <f>IF(Invoer!AY56="","",Invoer!AY56)</f>
        <v/>
      </c>
      <c r="FB36" s="107">
        <f>IF(Invoer!AZ56="","",Invoer!AZ56)</f>
        <v/>
      </c>
      <c r="FC36" s="107">
        <f>IF(Invoer!BA56="","",Invoer!BA56)</f>
        <v/>
      </c>
      <c r="FD36" s="107">
        <f>IF(Invoer!BB56="","",Invoer!BB56)</f>
        <v/>
      </c>
      <c r="FE36" s="348" t="n"/>
      <c r="FF36" s="119" t="n"/>
      <c r="FG36" s="119" t="n"/>
      <c r="FH36" s="119" t="n"/>
      <c r="FI36" s="107" t="n"/>
      <c r="FJ36" s="119" t="n"/>
      <c r="FK36" s="107" t="n"/>
      <c r="FL36" s="107" t="n"/>
      <c r="FM36" s="119" t="n"/>
      <c r="FN36" s="119" t="n"/>
      <c r="FO36" s="119" t="n"/>
      <c r="FP36" s="107" t="n"/>
      <c r="FQ36" s="119" t="n"/>
      <c r="FR36" s="107" t="n"/>
      <c r="FS36" s="107" t="n"/>
      <c r="FT36" s="119" t="n"/>
      <c r="FU36" s="119" t="n"/>
      <c r="FV36" s="119" t="n"/>
      <c r="FW36" s="107" t="n"/>
      <c r="FX36" s="119" t="n"/>
      <c r="FY36" s="107" t="n"/>
      <c r="FZ36" s="107" t="n"/>
      <c r="GA36" s="119" t="n"/>
      <c r="GB36" s="119" t="n"/>
      <c r="GC36" s="119" t="n"/>
      <c r="GD36" s="107" t="n"/>
      <c r="GE36" s="119" t="n"/>
      <c r="GF36" s="107" t="n"/>
      <c r="GG36" s="107" t="n"/>
      <c r="GH36" s="119" t="n"/>
      <c r="GI36" s="119" t="n"/>
      <c r="GJ36" s="119" t="n"/>
      <c r="GK36" s="107" t="n"/>
      <c r="GL36" s="119" t="n"/>
      <c r="GM36" s="107" t="n"/>
      <c r="GN36" s="107" t="n"/>
      <c r="GO36" s="119" t="n"/>
      <c r="GP36" s="119" t="n"/>
      <c r="GQ36" s="119" t="n"/>
      <c r="GR36" s="107" t="n"/>
      <c r="GS36" s="119" t="n"/>
      <c r="GT36" s="107" t="n"/>
      <c r="GU36" s="107" t="n"/>
      <c r="GV36" s="119" t="n"/>
      <c r="GW36" s="119" t="n"/>
      <c r="GX36" s="119" t="n"/>
      <c r="GY36" s="107" t="n"/>
      <c r="GZ36" s="119" t="n"/>
      <c r="HA36" s="107" t="n"/>
      <c r="HB36" s="107" t="n"/>
      <c r="HC36" s="119" t="n"/>
      <c r="HD36" s="119" t="n"/>
      <c r="HE36" s="119" t="n"/>
      <c r="HF36" s="107" t="n"/>
      <c r="HG36" s="119" t="n"/>
      <c r="HH36" s="107" t="n"/>
      <c r="HI36" s="107" t="n"/>
      <c r="HJ36" s="119" t="n"/>
      <c r="HK36" s="119" t="n"/>
      <c r="HL36" s="119" t="n"/>
      <c r="HM36" s="107" t="n"/>
      <c r="HN36" s="119" t="n"/>
      <c r="HO36" s="107" t="n"/>
      <c r="HP36" s="107" t="n"/>
      <c r="HQ36" s="119" t="n"/>
      <c r="HR36" s="119" t="n"/>
      <c r="HS36" s="119" t="n"/>
      <c r="HT36" s="107" t="n"/>
      <c r="HU36" s="119" t="n"/>
      <c r="HV36" s="107" t="n"/>
      <c r="HX36" s="113" t="n"/>
    </row>
    <row r="37" ht="12.75" customFormat="1" customHeight="1" s="113">
      <c r="B37" s="675">
        <f>N(Invoer!B57)</f>
        <v/>
      </c>
      <c r="C37" s="675">
        <f>N(Invoer!C57)</f>
        <v/>
      </c>
      <c r="D37" s="675">
        <f>N(Invoer!D57)</f>
        <v/>
      </c>
      <c r="E37" s="675">
        <f>N(Invoer!E57)</f>
        <v/>
      </c>
      <c r="F37" s="675">
        <f>N(Invoer!F57)</f>
        <v/>
      </c>
      <c r="G37" s="675">
        <f>N(Invoer!G57)</f>
        <v/>
      </c>
      <c r="H37" s="675">
        <f>N(Invoer!H57)</f>
        <v/>
      </c>
      <c r="I37" s="675">
        <f>N(Invoer!I57)</f>
        <v/>
      </c>
      <c r="J37" s="675">
        <f>N(Invoer!J57)</f>
        <v/>
      </c>
      <c r="K37" s="675">
        <f>N(Invoer!K57)</f>
        <v/>
      </c>
      <c r="L37" s="81">
        <f>IF(Invoer!L57="","",Invoer!L57)</f>
        <v/>
      </c>
      <c r="M37" s="676">
        <f>N(Invoer!M57)</f>
        <v/>
      </c>
      <c r="N37" s="81">
        <f>IF(Invoer!N57="","",Invoer!N57)</f>
        <v/>
      </c>
      <c r="O37" s="79" t="n"/>
      <c r="P37" s="83">
        <f>IF(Invoer!BK57="","",Invoer!BK57)</f>
        <v/>
      </c>
      <c r="Q37" s="83">
        <f>IF(Invoer!BL57="","",Invoer!BL57)</f>
        <v/>
      </c>
      <c r="R37" s="83">
        <f>IF(Invoer!BM57="","",Invoer!BM57)</f>
        <v/>
      </c>
      <c r="S37" s="83">
        <f>IF(Invoer!BN57="","",Invoer!BN57)</f>
        <v/>
      </c>
      <c r="T37" s="83">
        <f>IF(Invoer!BO57="","",Invoer!BO57)</f>
        <v/>
      </c>
      <c r="U37" s="83">
        <f>IF(Invoer!BP57="","",Invoer!BP57)</f>
        <v/>
      </c>
      <c r="V37" s="83" t="n"/>
      <c r="W37" s="83">
        <f>IF(Invoer!BQ57="","",Invoer!BQ57)</f>
        <v/>
      </c>
      <c r="X37" s="83">
        <f>IF(Invoer!BR57="","",Invoer!BR57)</f>
        <v/>
      </c>
      <c r="Y37" s="83" t="n"/>
      <c r="Z37" s="83">
        <f>IF(Invoer!BS57="","",Invoer!BS57)</f>
        <v/>
      </c>
      <c r="AA37" s="83">
        <f>IF(Invoer!BT57="","",Invoer!BT57)</f>
        <v/>
      </c>
      <c r="AB37" s="83">
        <f>IF(Invoer!P57="","",Invoer!P57)</f>
        <v/>
      </c>
      <c r="AC37" s="83" t="n"/>
      <c r="AD37" s="82">
        <f>IF(Invoer!Q57="","",Invoer!Q57)</f>
        <v/>
      </c>
      <c r="AE37" s="42" t="n"/>
      <c r="AF37" s="83">
        <f>IF(Invoer!R57="","",Invoer!R57)</f>
        <v/>
      </c>
      <c r="AG37" s="83" t="n"/>
      <c r="AH37" s="83" t="n"/>
      <c r="AI37" s="84">
        <f>IF(N(Invoer!S57)=0,"",Invoer!S57)</f>
        <v/>
      </c>
      <c r="AJ37" s="83">
        <f>IF(Invoer!T57="","",Invoer!T57)</f>
        <v/>
      </c>
      <c r="AK37" s="42" t="n"/>
      <c r="AL37" s="83">
        <f>IF(Invoer!U57="","",Invoer!U57)</f>
        <v/>
      </c>
      <c r="AM37" s="83">
        <f>IF(Invoer!V57="","",Invoer!V57)</f>
        <v/>
      </c>
      <c r="AN37" s="83">
        <f>IF(Invoer!W57="","",Invoer!W57)</f>
        <v/>
      </c>
      <c r="AO37" s="83" t="n"/>
      <c r="AP37" s="675">
        <f>N(Invoer!X57)</f>
        <v/>
      </c>
      <c r="AQ37" s="675">
        <f>N(Invoer!Y57)</f>
        <v/>
      </c>
      <c r="AR37" s="675">
        <f>N(Invoer!Z57)</f>
        <v/>
      </c>
      <c r="AS37" s="675">
        <f>N(Invoer!AA57)</f>
        <v/>
      </c>
      <c r="AT37" s="675">
        <f>N(Invoer!AB57)</f>
        <v/>
      </c>
      <c r="AU37" s="675">
        <f>N(Invoer!AC57)</f>
        <v/>
      </c>
      <c r="AV37" s="83" t="n"/>
      <c r="AW37" s="677">
        <f>N(Invoer!AD57)</f>
        <v/>
      </c>
      <c r="AX37" s="83" t="n"/>
      <c r="AY37" s="85">
        <f>IF(Periodiciteit&lt;&gt;"",(uurtarief_wd*(IF(ISNUMBER(tijd_wd),tijd_wd,0))+uurtarief_td*(IF(ISNUMBER(tijd_td),tijd_td,0))+uurtarief_sb*(IF(ISNUMBER(tijd_sb),tijd_sb,0))+uurtarief_rw*(IF(ISNUMBER(tijd_rw),tijd_rw,0))+uurtarief_d*(IF(ISNUMBER(tijd_d),tijd_d,0))+uurtarief_3*(IF(ISNUMBER(tijd_3),tijd_3,0)) +(IF(ISNUMBER(f_vast),f_vast,0)))*(IF(Perio_int="j",1,IF(Perio_int="m",12,IF(Perio_int="w",52,IF(Perio_int="d",365,0)))))*Periodiciteit*aantal_componenten,"")</f>
        <v/>
      </c>
      <c r="AZ37" s="83" t="n"/>
      <c r="BA37" s="85">
        <f>IF(N(Invoer!AE57)=0,"",Invoer!AE57)</f>
        <v/>
      </c>
      <c r="BB37" s="83" t="n"/>
      <c r="BC37" s="85">
        <f>IF(AND(Periodiciteit&lt;&gt;"",Kosten_res_pk&lt;&gt;""), Kosten_res_pk*(IF(Perio_int="j",1,IF(Perio_int="m",12,IF(Perio_int="w",52,IF(Perio_int="d",365,0)))))*Periodiciteit*aantal_componenten,"")</f>
        <v/>
      </c>
      <c r="BD37" s="83" t="n"/>
      <c r="BE37" s="83" t="n"/>
      <c r="BF37" s="83" t="n"/>
      <c r="BG37" s="83">
        <f>IF(Kosten_res_trade &lt;&gt;"", Kosten_res_trade, Kosten_res_jaar )</f>
        <v/>
      </c>
      <c r="BH37" s="83" t="n"/>
      <c r="BI37" s="83">
        <f>IF(N(Invoer!AF57)=0,"",Invoer!AF57)</f>
        <v/>
      </c>
      <c r="BJ37" s="83" t="n"/>
      <c r="BK37" s="83">
        <f>IF(AND(Periodiciteit&lt;&gt;"",Gevolgkosten&lt;&gt;""), Gevolgkosten*(IF(Perio_int="j",1,IF(Perio_int="m",12,IF(Perio_int="w",52,IF(Perio_int="d",365,0)))))*Periodiciteit*aantal_componenten,"")</f>
        <v/>
      </c>
      <c r="BL37" s="83" t="n"/>
      <c r="BM37" s="678">
        <f>N(Invoer!AJ57)</f>
        <v/>
      </c>
      <c r="BN37" s="675">
        <f>N(Invoer!AK57)</f>
        <v/>
      </c>
      <c r="BO37" s="675">
        <f>N(Invoer!AL57)</f>
        <v/>
      </c>
      <c r="BP37" s="675">
        <f>N(Invoer!AM57)</f>
        <v/>
      </c>
      <c r="BQ37" s="83" t="n"/>
      <c r="BR37" s="675">
        <f>N(Invoer!AN57)</f>
        <v/>
      </c>
      <c r="BS37" s="83">
        <f>IF(N(Invoer!AO57)=0,"",Invoer!AO57)</f>
        <v/>
      </c>
      <c r="BT37" s="675">
        <f>N(Invoer!AP57)</f>
        <v/>
      </c>
      <c r="BU37" s="83" t="n"/>
      <c r="BV37" s="675">
        <f>N(Invoer!AQ57)</f>
        <v/>
      </c>
      <c r="BW37" s="675">
        <f>N(Invoer!AR57)</f>
        <v/>
      </c>
      <c r="BX37" s="83" t="n"/>
      <c r="BY37" s="83" t="n"/>
      <c r="BZ37" s="83" t="n"/>
      <c r="CA37" s="83">
        <f>IF(N(Invoer!AG57)=0,"",Invoer!AG57)</f>
        <v/>
      </c>
      <c r="CB37" s="675">
        <f>N(Invoer!AH57)</f>
        <v/>
      </c>
      <c r="CC37" s="675">
        <f>N(Invoer!AI57)</f>
        <v/>
      </c>
      <c r="CD37" s="86">
        <f>IF( OR(CO_rep&lt;&gt;"",CO_verv&lt;&gt;""),IF(lambda_fabrikant&lt;&gt;"",IF(Uitvoeren_missie="N", (1-EXP(-aantal_componenten*lambda_fabrikant*Missieduur*p_gebruik_missie))/Missieduur/aantal_componenten,
IF(doorlooptijd_missie_i &lt;&gt; 0,((aantal_componenten*lambda_fabrikant*(1/doorlooptijd_missie_i)/(aantal_componenten*lambda_fabrikant+1/doorlooptijd_missie_i))*Missieduur*p_gebruik_missie+(aantal_componenten*lambda_fabrikant)^2/(aantal_componenten*lambda_fabrikant+1/doorlooptijd_missie_i)^2*(1-EXP(-(aantal_componenten*lambda_fabrikant+1/doorlooptijd_missie_i)*Missieduur*p_gebruik_missie)))/Missieduur/aantal_componenten,lambda_fabrikant*p_gebruik_missie)),""),"")</f>
        <v/>
      </c>
      <c r="CE37" s="86">
        <f>IF( OR(CO_rep&lt;&gt;"",CO_verv&lt;&gt;""),IF(lambda_fabrikant&lt;&gt;"",IF(uitvoeren_GO = "J", (1-EXP(-(aantal_componenten*lambda_fabrikant*p_gebruik_wal* interval_groot_onderhoud/8760*Missies_per_jaar*walduur)))/ (interval_groot_onderhoud/8760*Missies_per_jaar*walduur) / aantal_componenten,IF(doorlooptijd_wal_i &lt;&gt; 0,((aantal_componenten*lambda_fabrikant*(1/doorlooptijd_wal_i)/(aantal_componenten*lambda_fabrikant+1/doorlooptijd_wal_i))*walduur*p_gebruik_wal+(aantal_componenten*lambda_fabrikant)^2/(aantal_componenten*lambda_fabrikant+1/doorlooptijd_wal_i)^2*(1-EXP(-(aantal_componenten*lambda_fabrikant+1/doorlooptijd_wal_i)*walduur*p_gebruik_wal)))/walduur/aantal_componenten,lambda_fabrikant*p_gebruik_wal)),""),"")</f>
        <v/>
      </c>
      <c r="CF37" s="87">
        <f>IF( OR(CO_rep&lt;&gt;"",CO_verv&lt;&gt;""),
IF(OR(lambda_missie_g&lt;&gt;"",lambda_wal_g&lt;&gt;""), "",  IF(Perio_int="j",1/8760,  IF(Perio_int="m",12/8760,  IF(Perio_int="w",52/8760,  IF(Perio_int="d",365/8760,"error") ) ) )*Periodiciteit),"")</f>
        <v/>
      </c>
      <c r="CG37" s="87">
        <f>IF(OR(CO_rep&lt;&gt;"",CO_verv&lt;&gt;""),1,"")</f>
        <v/>
      </c>
      <c r="CH37" s="86">
        <f>IF( OR(CO_rep&lt;&gt;"",CO_verv&lt;&gt;""),IF(lambda_fabrikant="",lambda_kalendertijd*missiepercentage*8760/(Missies_per_jaar*Missieduur),""),"")</f>
        <v/>
      </c>
      <c r="CI37" s="86">
        <f>IF( OR(CO_rep&lt;&gt;"",CO_verv&lt;&gt;""),IF(lambda_fabrikant="",lambda_kalendertijd*(1-missiepercentage)*8760/(Missies_per_jaar*walduur),""),"")</f>
        <v/>
      </c>
      <c r="CJ37" s="86">
        <f>IF( OR(CO_rep&lt;&gt;"",CO_verv&lt;&gt;""),
IF(OR(lambda_missie_g&lt;&gt;"",lambda_wal_g&lt;&gt;""), (lambda_missie_g*Missieduur + lambda_wal_g*walduur)/8760*Missies_per_jaar, lambda_kalendertijd),"")</f>
        <v/>
      </c>
      <c r="CK37" s="86">
        <f>IF(lambda&lt;&gt;"",m_schip*lambda,"")</f>
        <v/>
      </c>
      <c r="CL37" s="84">
        <f>IF(OR(CO_rep&lt;&gt;"",CO_verv&lt;&gt;""),IF(Redundantie = "J","?",1),"")</f>
        <v/>
      </c>
      <c r="CM37" s="86">
        <f>IF(lambda&lt;&gt;"",IF(Redundantie="J",IF(lambda_missie_g&lt;&gt;"",lambda_missie_g*redundantie_factor,lambda_missie*redundantie_factor),IF(lambda_missie_g&lt;&gt;"",lambda_missie_g*m_schip,lambda_missie*m_schip)),"")</f>
        <v/>
      </c>
      <c r="CN37" s="86">
        <f>IF(lambda&lt;&gt;"",lambda_functie*Missieduur*Missies_per_jaar/8760,"")</f>
        <v/>
      </c>
      <c r="CO37" s="86">
        <f>IF(lambda&lt;&gt;"",IF(Redundantie="J",IF(lambda_wal_g&lt;&gt;"",lambda_wal_g*redundantie_factor,lambda_wal*redundantie_factor),IF(lambda_wal_g&lt;&gt;"",lambda_wal_g*m_schip,lambda_wal*m_schip)),"")</f>
        <v/>
      </c>
      <c r="CP37" s="86">
        <f>IF(lambda&lt;&gt;"",lambda_functie_wal*walduur*Missies_per_jaar/8760,"")</f>
        <v/>
      </c>
      <c r="CQ37" s="83" t="n"/>
      <c r="CR37" s="83">
        <f>IF(OR(CO_verv&lt;&gt;"",CO_rep&lt;&gt;""),aantal_componenten,"")</f>
        <v/>
      </c>
      <c r="CS37" s="84">
        <f>IF( OR(CO_rep&lt;&gt;"",CO_verv&lt;&gt;""),IF(Aantal_res_boord=0,1,IF(lambda_missie_g&lt;&gt;"",1-POISSON(Aantal_res_boord-1,m_schip*lambda_missie_g*Missieduur,TRUE),1-POISSON(Aantal_res_boord-1,m_schip*lambda_missie*Missieduur,TRUE))),"")</f>
        <v/>
      </c>
      <c r="CT37" s="83" t="n"/>
      <c r="CU37" s="83">
        <f>IF(OR(CO_verv&lt;&gt;"",CO_rep&lt;&gt;""),Aantal_fregatten * m_schip,"")</f>
        <v/>
      </c>
      <c r="CV37" s="85">
        <f>IF(AND(lambda&gt;0,Aantal_ini_wal&gt;=0,Aantal_res_wal&lt;&gt;""),IF(Aantal_ini_wal&gt;Aantal_res_wal,(Aantal_ini_wal-Aantal_res_wal)/(m_vloot*lambda*8760),0),"")</f>
        <v/>
      </c>
      <c r="CW37" s="83">
        <f>IF(AND(lambda&gt;0,Aantal_max_wal&gt;=0,Aantal_res_wal&lt;&gt;""),IF(Aantal_max_wal&gt;Aantal_res_wal,(Aantal_max_wal-Aantal_res_wal)/(m_vloot*lambda*8760),0),"")</f>
        <v/>
      </c>
      <c r="CX37" s="88">
        <f>IF(AND(ini_periode&lt;&gt;"",bestel_interval&lt;&gt;"",besteltijd&lt;&gt;""),IF(ini_periode&gt;=Looptijd,0,
IF(bestel_interval&gt;=(Looptijd-ini_periode),IF(besteltijd&lt;(Looptijd-ini_periode),besteltijd/8760/Looptijd,(Looptijd-ini_periode)/Looptijd),
IF(((Looptijd-ini_periode)-(INT((Looptijd-ini_periode)/(besteltijd/8760+bestel_interval))))&gt;=besteltijd/8760,(1+INT((Looptijd-ini_periode)/(besteltijd/8760+bestel_interval)))*(besteltijd/8760)/Looptijd,(INT((Looptijd-ini_periode)/(besteltijd/8760+bestel_interval))*(besteltijd/8760)+((Looptijd-ini_periode)-(INT((Looptijd-ini_periode)/(besteltijd/8760+bestel_interval)))*(besteltijd/8760+bestel_interval)))/Looptijd))),"")</f>
        <v/>
      </c>
      <c r="CY37" s="83">
        <f>IF( OR(CO_rep&lt;&gt;"",CO_verv&lt;&gt;""),
  IF( Aantal_res_wal+(Aantal_fregatten-1)*Aantal_res_boord=0, 1*IF(percentage_looptijd_inbestelling&lt;&gt;"",percentage_looptijd_inbestelling,1),
(1-POISSON(Aantal_res_wal-1+(Aantal_fregatten-1)*Aantal_res_boord, m_vloot*lambda*besteltijd,TRUE))*IF(percentage_looptijd_inbestelling&lt;&gt;"",percentage_looptijd_inbestelling,1)),"")</f>
        <v/>
      </c>
      <c r="CZ37" s="83">
        <f>IF( OR(CO_rep&lt;&gt;"",CO_verv&lt;&gt;""),IF( Aantal_res_wal=0,1,  1-POISSON(Aantal_res_boord+Aantal_res_wal-1, m_vloot*lambda*besteltijd,TRUE)   ),"")</f>
        <v/>
      </c>
      <c r="DA37" s="83" t="n"/>
      <c r="DB37" s="83">
        <f>IF(OR(Uitvoeren_missie&lt;&gt;"J",uitvoeren_bedrijf="J",uitvoeren_GO="J"), "",
  IF(TAO_revisie&lt;&gt;"",  TAO_rev_verv_tijd,
  IF(TAO_vervanging&lt;&gt;"",  TAO_rev_verv_tijd,
  IF(PO_doorlooptijd&lt;&gt;0,  PO_doorlooptijd,"" ))))</f>
        <v/>
      </c>
      <c r="DC37" s="83" t="n"/>
      <c r="DD37" s="83">
        <f>IF(AND(CO_rep&lt;&gt;"", Uitvoeren_missie="N"), Missieduur,
  IF(AND(CO_rep&lt;&gt;"", Uitvoeren_missie="J"), CO_zoektijd + CO_rep_verv_tijd,""))</f>
        <v/>
      </c>
      <c r="DE37" s="83">
        <f>IF(AND(CO_verv&lt;&gt;"", Uitvoeren_missie="N"), Missieduur,
  IF(AND(CO_verv&lt;&gt;"", Uitvoeren_missie="J"), CO_zoektijd + CO_rep_verv_tijd,""))</f>
        <v/>
      </c>
      <c r="DF37" s="83">
        <f>IF(AND(CO_verv&lt;&gt;"", Uitvoeren_missie="N"), Missieduur,
  IF(AND(CO_verv&lt;&gt;"", Uitvoeren_missie="J"), wachttijd_invlieg+CO_zoektijd + CO_rep_verv_tijd,""))</f>
        <v/>
      </c>
      <c r="DG37" s="83">
        <f>IF(AND(CO_verv&lt;&gt;"", Uitvoeren_missie="N"), Missieduur,
  IF(AND(CO_verv&lt;&gt;"", Uitvoeren_missie="J"), besteltijd + wachttijd_invlieg + CO_zoektijd + CO_rep_verv_tijd,""))</f>
        <v/>
      </c>
      <c r="DH37" s="83">
        <f> IF(AND(doorlooptijd_missie_met&lt;&gt;"",CO_verv&lt;&gt;""),    P_op_boord* ( P_op_vloot*doorlooptijd_missie_zonder  +  (1-P_op_vloot)*doorlooptijd_invlieg  ) + (1-P_op_boord)* doorlooptijd_missie_met, "")</f>
        <v/>
      </c>
      <c r="DI37" s="83">
        <f>IF(CO_rep&lt;&gt;"",doorlooptijd_missie_rep,IF(AND(CO_verv&lt;&gt;"",Aantal_res_boord&lt;&gt;"",Aantal_res_boord&lt;&gt;0),doorlooptijd_missie_met,IF(AND(CO_verv&lt;&gt;"",Aantal_max_wal&lt;&gt;"",Aantal_max_wal&lt;&gt;0),doorlooptijd_invlieg,doorlooptijd_missie_zonder)))</f>
        <v/>
      </c>
      <c r="DJ37" s="83">
        <f>IF(doorlooptijd_missie_verv&lt;&gt;"", doorlooptijd_missie_verv, IF(doorlooptijd_missie_rep&lt;&gt;"", doorlooptijd_missie_rep,""))</f>
        <v/>
      </c>
      <c r="DK37" s="83" t="n"/>
      <c r="DL37" s="83">
        <f>  IF(CO_rep&lt;&gt;"", CO_zoektijd + CO_rep_verv_tijd,"")</f>
        <v/>
      </c>
      <c r="DM37" s="83">
        <f>  IF(AND(CO_verv&lt;&gt;"",CO_rep=""), wachttijd_wal+CO_zoektijd + CO_rep_verv_tijd,"")</f>
        <v/>
      </c>
      <c r="DN37" s="83">
        <f> IF(AND(CO_verv&lt;&gt;"",CO_rep=""), wachttijd_invlieg+CO_zoektijd + CO_rep_verv_tijd,"")</f>
        <v/>
      </c>
      <c r="DO37" s="83">
        <f>IF(AND(CO_verv&lt;&gt;"",CO_rep=""), besteltijd + wachttijd_wal + CO_zoektijd + CO_rep_verv_tijd,"")</f>
        <v/>
      </c>
      <c r="DP37" s="89">
        <f> IF(AND(doorlooptijd_van_wal&lt;&gt;"",CO_verv&lt;&gt;""),     P_op_vloot*doorlooptijd_wal_zonder  +
     (1-P_op_vloot)*(P_op_wal*Doorlooptijd_transport+ (1-P_op_wal)*doorlooptijd_van_wal  ),   "")</f>
        <v/>
      </c>
      <c r="DQ37" s="89">
        <f>IF(CO_rep&lt;&gt;"",doorlooptijd_wal_rep,IF(AND(CO_verv&lt;&gt;"",AND(Aantal_res_boord&lt;&gt;"",Aantal_res_boord&lt;&gt;0)),doorlooptijd_van_wal,IF(AND(CO_verv&lt;&gt;"",AND(Aantal_max_wal&lt;&gt;"",Aantal_max_wal&lt;&gt;0)),Doorlooptijd_transport,doorlooptijd_wal_zonder)))</f>
        <v/>
      </c>
      <c r="DR37" s="83">
        <f>IF(doorlooptijd_wal_verv&lt;&gt;"", doorlooptijd_wal_verv, IF(doorlooptijd_wal_rep&lt;&gt;"", doorlooptijd_wal_rep,""))</f>
        <v/>
      </c>
      <c r="DS37" s="83" t="n"/>
      <c r="DT37" s="83">
        <f>IF(OR(CO_verv&lt;&gt;"",CO_rep&lt;&gt;""),IF(lambda_functie&lt;&gt;"",ONB_missie_tussenberekening_1 + ONB_missie_tussenberekening_2,""),"")</f>
        <v/>
      </c>
      <c r="DU37" s="83">
        <f>IF(OR(CO_rep&lt;&gt;"",CO_verv&lt;&gt;""),IF(lambda_functie&lt;&gt;"",IF(Uitvoeren_missie="N",1-(1-EXP(-lambda_functie*Missieduur))/(lambda_functie*Missieduur),IF(CO_verv&lt;&gt;"",
(1-P_op_boord)*IF(doorlooptijd_missie_met&lt;&gt;0,lambda_functie/(lambda_functie+(1/doorlooptijd_missie_met))-lambda_functie/((lambda_functie+(1/doorlooptijd_missie_met))^2*Missieduur)*(1-EXP(-(lambda_functie+(1/doorlooptijd_missie_met))*Missieduur)),0)+P_op_boord*((1-P_op_vloot)*IF(doorlooptijd_invlieg&lt;&gt;0,lambda_functie/(lambda_functie+(1 /doorlooptijd_invlieg))-lambda_functie/((lambda_functie+(1/doorlooptijd_invlieg))^2*Missieduur)*(1-EXP(-(lambda_functie+(1/doorlooptijd_invlieg))*Missieduur)),0)+P_op_vloot*IF(doorlooptijd_missie_zonder&lt;&gt;0,lambda_functie/(lambda_functie+(1/doorlooptijd_missie_zonder))-lambda_functie/((lambda_functie+(1/doorlooptijd_missie_zonder))^2*Missieduur)*(1-EXP(-(lambda_functie+(1/doorlooptijd_missie_zonder))*Missieduur)),0)),0)),0),"")</f>
        <v/>
      </c>
      <c r="DV37" s="83">
        <f>IF(OR(CO_rep&lt;&gt;"",CO_verv&lt;&gt;""),IF(lambda_functie&lt;&gt;"",IF(CO_rep&lt;&gt;"",
IF(doorlooptijd_missie_rep&lt;&gt;0,lambda_functie/(lambda_functie+(1/doorlooptijd_missie_rep))-lambda_functie/((lambda_functie+(1/doorlooptijd_missie_rep))^2*Missieduur)*(1-EXP(-(lambda_functie+(1/doorlooptijd_missie_rep))*Missieduur)),0),0)),"")</f>
        <v/>
      </c>
      <c r="DW37" s="90">
        <f>IF(ONB_missie="","",IF(tot_ONB_missie&lt;&gt;0,ONB_missie/tot_ONB_missie,0))</f>
        <v/>
      </c>
      <c r="DX37" s="83">
        <f>DT37</f>
        <v/>
      </c>
      <c r="DY37" s="83" t="n"/>
      <c r="DZ37" s="83">
        <f>IF(OR(CO_rep&lt;&gt;"",CO_verv&lt;&gt;""),IF(uitvoeren_GO="J",ONB_tussenberekening_1,IF(CO_rep&lt;&gt;"",ONB_tussenberekening_2,ONB_tussenberekening_3+ONB_tussenberekening_4+ONB_tussenberekening_5)),"")</f>
        <v/>
      </c>
      <c r="EA37" s="83">
        <f>IF(OR(CO_rep&lt;&gt;"",CO_verv&lt;&gt;""),IF(AND(OR(lambda_functie_kalendertijd&lt;&gt;"",lambda_functie_wal_kalendertijd&lt;&gt;""),uitvoeren_GO="J"),
1-(1-EXP(-(lambda_functie_kalendertijd+lambda_functie_wal_kalendertijd)*interval_groot_onderhoud))
/((lambda_functie_kalendertijd+lambda_functie_wal_kalendertijd)*interval_groot_onderhoud),0),"")</f>
        <v/>
      </c>
      <c r="EB37" s="83">
        <f>IF(OR(CO_rep&lt;&gt;"",CO_verv&lt;&gt;""),IF(AND(CO_rep &lt;&gt;"",OR(doorlooptijd_missie_rep&gt;=walduur,doorlooptijd_wal_rep &gt;= walduur)),IF(doorlooptijd_missie_rep &gt;= walduur,lambda_functie_kalendertijd / (lambda_functie_kalendertijd + 1/doorlooptijd_missie_rep),0)
 + IF(doorlooptijd_wal_rep &gt;= walduur,lambda_functie_wal_kalendertijd / (lambda_functie_wal_kalendertijd + 1/doorlooptijd_wal_rep),0),IF(CO_rep &lt;&gt; "",(1 -EXP(-(lambda_functie_wal_kalendertijd + 1 / doorlooptijd_wal_rep)*walduur))
*  lambda_functie_wal_kalendertijd / (lambda_functie_wal_kalendertijd + 1/ doorlooptijd_wal_rep),0)),"")</f>
        <v/>
      </c>
      <c r="EC37" s="83">
        <f>IF(OR(CO_rep&lt;&gt;"",CO_verv&lt;&gt;""),IF(CO_verv&lt;&gt;"",
P_op_boord* ( P_op_vloot*IF(doorlooptijd_missie_zonder&gt;=walduur, lambda_functie_kalendertijd / (lambda_functie_kalendertijd + 1/doorlooptijd_missie_zonder),0)+ (1- P_op_vloot)*IF(doorlooptijd_invlieg&gt;=walduur, lambda_functie_kalendertijd / (lambda_functie_kalendertijd + 1 /doorlooptijd_invlieg),0) )
+ (1- P_op_boord) * IF(doorlooptijd_missie_met&gt;=walduur,lambda_functie_kalendertijd / (lambda_functie_kalendertijd  + 1 / doorlooptijd_missie_met),0),0),"")</f>
        <v/>
      </c>
      <c r="ED37" s="83">
        <f>IF(OR(CO_rep&lt;&gt;"",CO_verv&lt;&gt;""),IF(CO_verv &lt;&gt;"",
(1-P_op_vloot)*((1 - P_op_wal)*IF(doorlooptijd_van_wal&gt;=walduur,lambda_functie_wal_kalendertijd/(lambda_functie_wal_kalendertijd+ 1/ doorlooptijd_van_wal),0)
+ P_op_wal*IF(Doorlooptijd_transport&gt;=walduur,lambda_functie_wal_kalendertijd / (lambda_functie_wal_kalendertijd +1/Doorlooptijd_transport),0) )+ P_op_vloot*IF(doorlooptijd_wal_zonder&gt;=walduur, lambda_functie_wal_kalendertijd / (lambda_functie_wal_kalendertijd + 1/ doorlooptijd_wal_zonder),0),0),"")</f>
        <v/>
      </c>
      <c r="EE37" s="83">
        <f>IF(OR(CO_rep&lt;&gt;"",CO_verv&lt;&gt;""),IF(CO_verv &lt;&gt;"",
(1-P_op_vloot)* ( (1- P_op_wal)* (IF(AND(doorlooptijd_van_wal&lt;&gt;0,doorlooptijd_van_wal&lt;walduur),(1 -EXP(-(lambda_functie_wal_kalendertijd + 1 / doorlooptijd_van_wal)*walduur))
*  lambda_functie_wal_kalendertijd / (lambda_functie_wal_kalendertijd + 1/ doorlooptijd_van_wal),0))
+ P_op_wal*(IF(AND(Doorlooptijd_transport&lt;&gt;0,Doorlooptijd_transport&lt;walduur),(1 -EXP(-(lambda_functie_wal_kalendertijd + 1 / Doorlooptijd_transport)*walduur))
* lambda_functie_wal_kalendertijd /(lambda_functie_wal_kalendertijd + 1/ Doorlooptijd_transport),0)))
 + P_op_vloot*(IF(AND(doorlooptijd_wal_zonder&lt;&gt;0,doorlooptijd_wal_zonder&lt;walduur),(1 -EXP(-(lambda_functie_wal_kalendertijd + 1 / doorlooptijd_wal_zonder)*walduur))
*  lambda_functie_wal_kalendertijd / (lambda_functie_wal_kalendertijd + 1/ doorlooptijd_wal_zonder),0)),0),"")</f>
        <v/>
      </c>
      <c r="EF37" s="90">
        <f>IF(ONB_aanvang="","",IF(tot_ONB_aanvang&lt;&gt;0,ONB_aanvang/tot_ONB_aanvang,0))</f>
        <v/>
      </c>
      <c r="EG37" s="83">
        <f>DZ37</f>
        <v/>
      </c>
      <c r="EH37" s="83" t="n"/>
      <c r="EI37" s="79">
        <f>IF(Invoer!BE57="","",Invoer!BE57)</f>
        <v/>
      </c>
      <c r="EJ37" s="79" t="n"/>
      <c r="EK37" s="79" t="n"/>
      <c r="EL37" s="79" t="n"/>
      <c r="EM37" s="83" t="n"/>
      <c r="EN37" s="84" t="n"/>
      <c r="EO37" s="83" t="n"/>
      <c r="EP37" s="83" t="n"/>
      <c r="EQ37" s="79" t="n"/>
      <c r="ER37" s="91" t="n"/>
      <c r="ES37" s="120" t="n"/>
      <c r="ET37" s="120" t="n"/>
      <c r="EU37" s="120">
        <f>IF(Invoer!AS57="","",Invoer!AS57)</f>
        <v/>
      </c>
      <c r="EV37" s="120">
        <f>IF(Invoer!AT57="","",Invoer!AT57)</f>
        <v/>
      </c>
      <c r="EW37" s="120">
        <f>IF(Invoer!AU57="","",Invoer!AU57)</f>
        <v/>
      </c>
      <c r="EX37" s="120">
        <f>IF(Invoer!AV57="","",Invoer!AV57)</f>
        <v/>
      </c>
      <c r="EY37" s="120">
        <f>IF(Invoer!AW57="","",Invoer!AW57)</f>
        <v/>
      </c>
      <c r="EZ37" s="120">
        <f>IF(Invoer!AX57="","",Invoer!AX57)</f>
        <v/>
      </c>
      <c r="FA37" s="120">
        <f>IF(Invoer!AY57="","",Invoer!AY57)</f>
        <v/>
      </c>
      <c r="FB37" s="120">
        <f>IF(Invoer!AZ57="","",Invoer!AZ57)</f>
        <v/>
      </c>
      <c r="FC37" s="120">
        <f>IF(Invoer!BA57="","",Invoer!BA57)</f>
        <v/>
      </c>
      <c r="FD37" s="120">
        <f>IF(Invoer!BB57="","",Invoer!BB57)</f>
        <v/>
      </c>
      <c r="FF37" s="120">
        <f>IF(AND(functie_1&lt;&gt;"",lambda&lt;&gt;""),lambda*m_schip,"")</f>
        <v/>
      </c>
      <c r="FG37" s="120">
        <f>IF(functie_1&lt;&gt;"",lambda_functie,"")</f>
        <v/>
      </c>
      <c r="FH37" s="120">
        <f>IF(functie_1&lt;&gt;"",ONB_missie,"")</f>
        <v/>
      </c>
      <c r="FI37" s="121">
        <f>FH37</f>
        <v/>
      </c>
      <c r="FJ37" s="120">
        <f>IF(functie_1&lt;&gt;"",ONB_aanvang,"")</f>
        <v/>
      </c>
      <c r="FK37" s="121">
        <f>FJ37</f>
        <v/>
      </c>
      <c r="FL37" s="121" t="n"/>
      <c r="FM37" s="120">
        <f>IF(AND(functie_2&lt;&gt;"",lambda&lt;&gt;""),lambda*m_schip,"")</f>
        <v/>
      </c>
      <c r="FN37" s="120">
        <f>IF(functie_2&lt;&gt;"",lambda_functie,"")</f>
        <v/>
      </c>
      <c r="FO37" s="120">
        <f>IF(functie_2&lt;&gt;"",ONB_missie,"")</f>
        <v/>
      </c>
      <c r="FP37" s="121">
        <f>FO37</f>
        <v/>
      </c>
      <c r="FQ37" s="120">
        <f>IF(functie_2&lt;&gt;"",ONB_aanvang,"")</f>
        <v/>
      </c>
      <c r="FR37" s="121">
        <f>FQ37</f>
        <v/>
      </c>
      <c r="FS37" s="121" t="n"/>
      <c r="FT37" s="120">
        <f>IF(AND(functie_2&lt;&gt;"",lambda&lt;&gt;""),lambda*m_schip,"")</f>
        <v/>
      </c>
      <c r="FU37" s="120">
        <f>IF(functie_2&lt;&gt;"",lambda_functie,"")</f>
        <v/>
      </c>
      <c r="FV37" s="120">
        <f>IF(functie_2&lt;&gt;"",ONB_missie,"")</f>
        <v/>
      </c>
      <c r="FW37" s="121">
        <f>FV37</f>
        <v/>
      </c>
      <c r="FX37" s="120">
        <f>IF(functie_2&lt;&gt;"",ONB_aanvang,"")</f>
        <v/>
      </c>
      <c r="FY37" s="121">
        <f>FX37</f>
        <v/>
      </c>
      <c r="FZ37" s="121" t="n"/>
      <c r="GA37" s="120">
        <f>IF(AND(functie_2&lt;&gt;"",lambda&lt;&gt;""),lambda*m_schip,"")</f>
        <v/>
      </c>
      <c r="GB37" s="120">
        <f>IF(functie_2&lt;&gt;"",lambda_functie,"")</f>
        <v/>
      </c>
      <c r="GC37" s="120">
        <f>IF(functie_2&lt;&gt;"",ONB_missie,"")</f>
        <v/>
      </c>
      <c r="GD37" s="121">
        <f>GC37</f>
        <v/>
      </c>
      <c r="GE37" s="120">
        <f>IF(functie_2&lt;&gt;"",ONB_aanvang,"")</f>
        <v/>
      </c>
      <c r="GF37" s="121">
        <f>GE37</f>
        <v/>
      </c>
      <c r="GG37" s="121" t="n"/>
      <c r="GH37" s="120">
        <f>IF(AND(functie_2&lt;&gt;"",lambda&lt;&gt;""),lambda*m_schip,"")</f>
        <v/>
      </c>
      <c r="GI37" s="120">
        <f>IF(functie_2&lt;&gt;"",lambda_functie,"")</f>
        <v/>
      </c>
      <c r="GJ37" s="120">
        <f>IF(functie_2&lt;&gt;"",ONB_missie,"")</f>
        <v/>
      </c>
      <c r="GK37" s="121">
        <f>GJ37</f>
        <v/>
      </c>
      <c r="GL37" s="120">
        <f>IF(functie_2&lt;&gt;"",ONB_aanvang,"")</f>
        <v/>
      </c>
      <c r="GM37" s="121">
        <f>GL37</f>
        <v/>
      </c>
      <c r="GN37" s="121" t="n"/>
      <c r="GO37" s="120">
        <f>IF(AND(functie_2&lt;&gt;"",lambda&lt;&gt;""),lambda*m_schip,"")</f>
        <v/>
      </c>
      <c r="GP37" s="120">
        <f>IF(functie_2&lt;&gt;"",lambda_functie,"")</f>
        <v/>
      </c>
      <c r="GQ37" s="120">
        <f>IF(functie_2&lt;&gt;"",ONB_missie,"")</f>
        <v/>
      </c>
      <c r="GR37" s="121">
        <f>GQ37</f>
        <v/>
      </c>
      <c r="GS37" s="120">
        <f>IF(functie_2&lt;&gt;"",ONB_aanvang,"")</f>
        <v/>
      </c>
      <c r="GT37" s="121">
        <f>GS37</f>
        <v/>
      </c>
      <c r="GU37" s="121" t="n"/>
      <c r="GV37" s="120">
        <f>IF(AND(functie_2&lt;&gt;"",lambda&lt;&gt;""),lambda*m_schip,"")</f>
        <v/>
      </c>
      <c r="GW37" s="120">
        <f>IF(functie_2&lt;&gt;"",lambda_functie,"")</f>
        <v/>
      </c>
      <c r="GX37" s="120">
        <f>IF(functie_2&lt;&gt;"",ONB_missie,"")</f>
        <v/>
      </c>
      <c r="GY37" s="121">
        <f>GX37</f>
        <v/>
      </c>
      <c r="GZ37" s="120">
        <f>IF(functie_2&lt;&gt;"",ONB_aanvang,"")</f>
        <v/>
      </c>
      <c r="HA37" s="121">
        <f>GZ37</f>
        <v/>
      </c>
      <c r="HB37" s="121" t="n"/>
      <c r="HC37" s="120">
        <f>IF(AND(functie_2&lt;&gt;"",lambda&lt;&gt;""),lambda*m_schip,"")</f>
        <v/>
      </c>
      <c r="HD37" s="120">
        <f>IF(functie_2&lt;&gt;"",lambda_functie,"")</f>
        <v/>
      </c>
      <c r="HE37" s="120">
        <f>IF(functie_2&lt;&gt;"",ONB_missie,"")</f>
        <v/>
      </c>
      <c r="HF37" s="121">
        <f>HE37</f>
        <v/>
      </c>
      <c r="HG37" s="120">
        <f>IF(functie_2&lt;&gt;"",ONB_aanvang,"")</f>
        <v/>
      </c>
      <c r="HH37" s="121">
        <f>HG37</f>
        <v/>
      </c>
      <c r="HI37" s="121" t="n"/>
      <c r="HJ37" s="120">
        <f>IF(AND(functie_2&lt;&gt;"",lambda&lt;&gt;""),lambda*m_schip,"")</f>
        <v/>
      </c>
      <c r="HK37" s="120">
        <f>IF(functie_2&lt;&gt;"",lambda_functie,"")</f>
        <v/>
      </c>
      <c r="HL37" s="120">
        <f>IF(functie_2&lt;&gt;"",ONB_missie,"")</f>
        <v/>
      </c>
      <c r="HM37" s="121">
        <f>HL37</f>
        <v/>
      </c>
      <c r="HN37" s="120">
        <f>IF(functie_2&lt;&gt;"",ONB_aanvang,"")</f>
        <v/>
      </c>
      <c r="HO37" s="121">
        <f>HN37</f>
        <v/>
      </c>
      <c r="HP37" s="121" t="n"/>
      <c r="HQ37" s="120">
        <f>IF(AND(functie_2&lt;&gt;"",lambda&lt;&gt;""),lambda*m_schip,"")</f>
        <v/>
      </c>
      <c r="HR37" s="120">
        <f>IF(functie_2&lt;&gt;"",lambda_functie,"")</f>
        <v/>
      </c>
      <c r="HS37" s="120">
        <f>IF(functie_2&lt;&gt;"",ONB_missie,"")</f>
        <v/>
      </c>
      <c r="HT37" s="121">
        <f>HS37</f>
        <v/>
      </c>
      <c r="HU37" s="120">
        <f>IF(functie_2&lt;&gt;"",ONB_aanvang,"")</f>
        <v/>
      </c>
      <c r="HV37" s="121">
        <f>HU37</f>
        <v/>
      </c>
      <c r="HW37" s="121" t="n"/>
      <c r="HY37" s="353" t="n"/>
      <c r="HZ37" s="353" t="n"/>
      <c r="IA37" s="353" t="n"/>
      <c r="IB37" s="353" t="n"/>
      <c r="IC37" s="353" t="n"/>
      <c r="ID37" s="353" t="n"/>
      <c r="IE37" s="353" t="n"/>
      <c r="IF37" s="353" t="n"/>
      <c r="IG37" s="353" t="n"/>
      <c r="IH37" s="353" t="n"/>
      <c r="II37" s="353" t="n"/>
      <c r="IJ37" s="353" t="n"/>
      <c r="IK37" s="353" t="n"/>
      <c r="IL37" s="353" t="n"/>
      <c r="IM37" s="353" t="n"/>
      <c r="IN37" s="353" t="n"/>
      <c r="IO37" s="353" t="n"/>
      <c r="IP37" s="353" t="n"/>
      <c r="IQ37" s="353" t="n"/>
      <c r="IR37" s="353" t="n"/>
      <c r="IS37" s="353" t="n"/>
      <c r="IT37" s="353" t="n"/>
      <c r="IU37" s="353" t="n"/>
      <c r="IV37" s="353" t="n"/>
    </row>
    <row r="38">
      <c r="FE38" s="353" t="n"/>
    </row>
    <row r="39">
      <c r="FE39" s="353" t="n"/>
    </row>
    <row r="40">
      <c r="FE40" s="353" t="n"/>
      <c r="HW40" s="353" t="n"/>
      <c r="HY40" s="353" t="n"/>
      <c r="HZ40" s="353" t="n"/>
      <c r="IA40" s="353" t="n"/>
      <c r="IB40" s="353" t="n"/>
      <c r="IC40" s="353" t="n"/>
      <c r="ID40" s="353" t="n"/>
      <c r="IE40" s="353" t="n"/>
      <c r="IF40" s="353" t="n"/>
      <c r="IG40" s="353" t="n"/>
      <c r="IH40" s="353" t="n"/>
      <c r="II40" s="353" t="n"/>
      <c r="IJ40" s="353" t="n"/>
      <c r="IK40" s="353" t="n"/>
      <c r="IL40" s="353" t="n"/>
      <c r="IM40" s="353" t="n"/>
      <c r="IN40" s="353" t="n"/>
      <c r="IO40" s="353" t="n"/>
      <c r="IP40" s="353" t="n"/>
      <c r="IQ40" s="353" t="n"/>
      <c r="IR40" s="353" t="n"/>
      <c r="IS40" s="353" t="n"/>
      <c r="IT40" s="353" t="n"/>
      <c r="IU40" s="353" t="n"/>
      <c r="IV40" s="353" t="n"/>
    </row>
    <row r="41">
      <c r="FE41" s="353" t="n"/>
    </row>
    <row r="42">
      <c r="FE42" s="353" t="n"/>
    </row>
    <row r="43">
      <c r="FE43" s="353" t="n"/>
    </row>
    <row r="44">
      <c r="FE44" s="353" t="n"/>
    </row>
    <row r="45">
      <c r="FE45" s="353" t="n"/>
    </row>
    <row r="46">
      <c r="FE46" s="353" t="n"/>
    </row>
    <row r="47">
      <c r="FE47" s="353" t="n"/>
    </row>
    <row r="51">
      <c r="FE51" s="353" t="n"/>
    </row>
    <row r="52">
      <c r="FE52" s="353" t="n"/>
    </row>
    <row r="53">
      <c r="FE53" s="353" t="n"/>
    </row>
    <row r="55">
      <c r="FE55" s="353" t="n"/>
    </row>
    <row r="59">
      <c r="FE59" s="353" t="n"/>
    </row>
    <row r="366">
      <c r="FE366" s="353" t="n"/>
    </row>
    <row r="382">
      <c r="FE382" s="353" t="n"/>
    </row>
    <row r="383">
      <c r="FE383" s="353" t="n"/>
    </row>
    <row r="387">
      <c r="FE387" s="353" t="n"/>
    </row>
    <row r="398">
      <c r="FE398" s="353" t="n"/>
    </row>
    <row r="399">
      <c r="FE399" s="353" t="n"/>
    </row>
    <row r="403">
      <c r="FE403" s="353" t="n"/>
    </row>
    <row r="414">
      <c r="FE414" s="353" t="n"/>
    </row>
    <row r="415">
      <c r="FE415" s="353" t="n"/>
    </row>
    <row r="418">
      <c r="FE418" s="353" t="n"/>
    </row>
    <row r="419">
      <c r="FE419" s="353" t="n"/>
    </row>
    <row r="430">
      <c r="FE430" s="353" t="n"/>
    </row>
    <row r="431">
      <c r="FE431" s="353" t="n"/>
    </row>
    <row r="433">
      <c r="FE433" s="353" t="n"/>
    </row>
    <row r="434">
      <c r="FE434" s="353" t="n"/>
    </row>
    <row r="435">
      <c r="FE435" s="353" t="n"/>
    </row>
    <row r="446">
      <c r="FE446" s="353" t="n"/>
    </row>
    <row r="447">
      <c r="FE447" s="353" t="n"/>
    </row>
    <row r="449">
      <c r="FE449" s="353" t="n"/>
    </row>
    <row r="450">
      <c r="FE450" s="353" t="n"/>
    </row>
    <row r="451">
      <c r="FE451" s="353" t="n"/>
    </row>
    <row r="453">
      <c r="FE453" s="353" t="n"/>
    </row>
    <row r="462">
      <c r="AK462" s="110" t="n"/>
      <c r="FE462" s="353" t="n"/>
    </row>
    <row r="463">
      <c r="FE463" s="353" t="n"/>
    </row>
    <row r="467">
      <c r="FE467" s="353" t="n"/>
    </row>
    <row r="468">
      <c r="FE468" s="353" t="n"/>
    </row>
  </sheetData>
  <sheetProtection selectLockedCells="0" selectUnlockedCells="0" sheet="1" objects="1" insertRows="0" insertHyperlinks="1" autoFilter="0" scenarios="1" formatColumns="0" deleteColumns="1" insertColumns="1" pivotTables="1" deleteRows="0" formatCells="1" formatRows="0" sort="0"/>
  <pageMargins left="0.75" right="0.75" top="0.39" bottom="0.48" header="0.37" footer="0.5"/>
  <pageSetup orientation="portrait" paperSize="8" scale="54" fitToWidth="7"/>
  <drawing xmlns:r="http://schemas.openxmlformats.org/officeDocument/2006/relationships" r:id="rId1"/>
  <legacyDrawing xmlns:r="http://schemas.openxmlformats.org/officeDocument/2006/relationships" r:id="anysvml"/>
</worksheet>
</file>

<file path=xl/worksheets/sheet8.xml><?xml version="1.0" encoding="utf-8"?>
<worksheet xmlns="http://schemas.openxmlformats.org/spreadsheetml/2006/main">
  <sheetPr codeName="Sheet5">
    <outlinePr summaryBelow="1" summaryRight="1"/>
    <pageSetUpPr/>
  </sheetPr>
  <dimension ref="C4:I98"/>
  <sheetViews>
    <sheetView showGridLines="0" showZeros="0" zoomScale="80" workbookViewId="0">
      <selection activeCell="AR8" sqref="AR8"/>
    </sheetView>
  </sheetViews>
  <sheetFormatPr baseColWidth="8" defaultRowHeight="12.75"/>
  <cols>
    <col width="22.85546875" customWidth="1" style="189" min="3" max="3"/>
    <col width="18.85546875" customWidth="1" style="189" min="6" max="6"/>
    <col width="12.28515625" customWidth="1" style="189" min="8" max="8"/>
    <col width="15.5703125" customWidth="1" style="189" min="9" max="9"/>
  </cols>
  <sheetData>
    <row r="4" ht="20.25" customHeight="1" s="189">
      <c r="C4" s="15">
        <f>"OVERZICHT SHEET RESULTATEN: "&amp;Algemeen!R4</f>
        <v/>
      </c>
      <c r="D4" s="16" t="n"/>
      <c r="E4" s="16" t="n"/>
      <c r="F4" s="16" t="n"/>
      <c r="G4" s="16" t="n"/>
      <c r="H4" s="17" t="n"/>
      <c r="I4" s="18" t="n"/>
    </row>
    <row r="6">
      <c r="C6" s="11" t="inlineStr">
        <is>
          <t>Totale onderhoudskosten per jaar</t>
        </is>
      </c>
      <c r="D6" s="12" t="n"/>
      <c r="E6" s="12" t="n"/>
      <c r="F6" s="13" t="n"/>
      <c r="H6" s="122">
        <f>tot_OH</f>
        <v/>
      </c>
      <c r="I6" s="14" t="inlineStr">
        <is>
          <t>[€/jaar]</t>
        </is>
      </c>
    </row>
    <row r="7" s="189">
      <c r="C7" s="156" t="n"/>
      <c r="H7" s="20" t="n"/>
    </row>
    <row r="8" hidden="1" s="189">
      <c r="C8" s="11" t="inlineStr">
        <is>
          <t>Totale kosten voor reservedelen per jaar</t>
        </is>
      </c>
      <c r="D8" s="12" t="n"/>
      <c r="E8" s="12" t="n"/>
      <c r="F8" s="13" t="n"/>
      <c r="H8" s="21">
        <f>tot_resdel_kosten</f>
        <v/>
      </c>
      <c r="I8" s="14" t="inlineStr">
        <is>
          <t>[€/jaar]</t>
        </is>
      </c>
    </row>
    <row r="9" hidden="1" s="189">
      <c r="C9" s="156" t="n"/>
      <c r="H9" s="20" t="n"/>
    </row>
    <row r="10" hidden="1" s="189">
      <c r="C10" s="11" t="inlineStr">
        <is>
          <t>Totale gevolgkosten per jaar</t>
        </is>
      </c>
      <c r="D10" s="12" t="n"/>
      <c r="E10" s="12" t="n"/>
      <c r="F10" s="13" t="n"/>
      <c r="H10" s="21">
        <f>tot_OH_gevolg</f>
        <v/>
      </c>
      <c r="I10" s="14" t="inlineStr">
        <is>
          <t>[€/jaar]</t>
        </is>
      </c>
    </row>
    <row r="11" hidden="1" s="189">
      <c r="H11" s="156" t="n"/>
      <c r="I11" s="10" t="n"/>
    </row>
    <row r="12">
      <c r="C12" s="11" t="inlineStr">
        <is>
          <t>Totale storingsfrequentie</t>
        </is>
      </c>
      <c r="D12" s="12" t="n"/>
      <c r="E12" s="12" t="n"/>
      <c r="F12" s="13" t="n"/>
      <c r="H12" s="123">
        <f>tot_storingsfreq*8760</f>
        <v/>
      </c>
      <c r="I12" s="14" t="inlineStr">
        <is>
          <t>[1/jaar]</t>
        </is>
      </c>
    </row>
    <row r="13">
      <c r="H13" s="156" t="n"/>
      <c r="I13" s="10" t="n"/>
    </row>
    <row r="14">
      <c r="C14" s="11" t="inlineStr">
        <is>
          <t>Storingsvrije fietstocht</t>
        </is>
      </c>
      <c r="D14" s="12" t="n"/>
      <c r="E14" s="12" t="n"/>
      <c r="F14" s="13" t="n"/>
      <c r="H14" s="22">
        <f>100*EXP(-tot_storingsfrequentie_missie*Missieduur)</f>
        <v/>
      </c>
      <c r="I14" s="14" t="inlineStr">
        <is>
          <t>[% tochten]</t>
        </is>
      </c>
    </row>
    <row r="15">
      <c r="H15" s="156" t="n"/>
      <c r="I15" s="10" t="n"/>
    </row>
    <row r="16">
      <c r="C16" s="11" t="inlineStr">
        <is>
          <t>Totale ONB tijdens fietstocht</t>
        </is>
      </c>
      <c r="D16" s="12" t="n"/>
      <c r="E16" s="12" t="n"/>
      <c r="F16" s="13" t="n"/>
      <c r="H16" s="22">
        <f>tot_ONB_missie*100</f>
        <v/>
      </c>
      <c r="I16" s="14" t="inlineStr">
        <is>
          <t>[%]</t>
        </is>
      </c>
    </row>
    <row r="17" hidden="1" s="189">
      <c r="H17" s="156" t="n"/>
      <c r="I17" s="10" t="n"/>
    </row>
    <row r="18" hidden="1" s="189">
      <c r="C18" s="11" t="inlineStr">
        <is>
          <t>Kans dat fiets niet beschikbaar is bij aanvang fietstocht</t>
        </is>
      </c>
      <c r="D18" s="12" t="n"/>
      <c r="E18" s="12" t="n"/>
      <c r="F18" s="13" t="n"/>
      <c r="H18" s="22">
        <f>tot_ONB_aanvang*100</f>
        <v/>
      </c>
      <c r="I18" s="14" t="inlineStr">
        <is>
          <t>[%]</t>
        </is>
      </c>
    </row>
    <row r="19" ht="13.5" customHeight="1" s="189" thickBot="1"/>
    <row r="20">
      <c r="C20" s="23">
        <f>IF(tot_storing_1&lt;&gt;"","Totale storingsfrequentie van "&amp;Algemeen!FF5,0)</f>
        <v/>
      </c>
      <c r="D20" s="181" t="n"/>
      <c r="E20" s="181" t="n"/>
      <c r="F20" s="181" t="n"/>
      <c r="G20" s="181" t="n"/>
      <c r="H20" s="124">
        <f>IF(tot_storing_1&lt;&gt;"",tot_storing_1*8760,0)</f>
        <v/>
      </c>
      <c r="I20" s="25" t="inlineStr">
        <is>
          <t>[1/jaar]</t>
        </is>
      </c>
    </row>
    <row r="21">
      <c r="C21" s="188" t="n"/>
      <c r="I21" s="187" t="n"/>
    </row>
    <row r="22">
      <c r="C22" s="26">
        <f>IF(tot_storing_missie_1&lt;&gt;"","Storingsvrije functie "&amp;Algemeen!FF5&amp;"",0)</f>
        <v/>
      </c>
      <c r="H22" s="27">
        <f>100*EXP(-tot_storing_missie_1*Missieduur)</f>
        <v/>
      </c>
      <c r="I22" s="32" t="inlineStr">
        <is>
          <t>[% tochten]</t>
        </is>
      </c>
    </row>
    <row r="23">
      <c r="C23" s="188" t="n"/>
      <c r="I23" s="187" t="n"/>
    </row>
    <row r="24" ht="13.5" customHeight="1" s="189" thickBot="1">
      <c r="C24" s="29">
        <f>IF(tot_ONB_missie_1&lt;&gt;"","Totale ONB tijdens functie "&amp;Algemeen!FF5,0)</f>
        <v/>
      </c>
      <c r="D24" s="236" t="n"/>
      <c r="E24" s="236" t="n"/>
      <c r="F24" s="236" t="n"/>
      <c r="G24" s="236" t="n"/>
      <c r="H24" s="30">
        <f>IF(tot_ONB_missie_1&lt;&gt;"",tot_ONB_missie_1*100,0)</f>
        <v/>
      </c>
      <c r="I24" s="31">
        <f>IF(tot_ONB_missie_1&lt;&gt;"","[%]",0)</f>
        <v/>
      </c>
    </row>
    <row r="25" hidden="1" s="189">
      <c r="C25" s="188" t="n"/>
      <c r="I25" s="187" t="n"/>
    </row>
    <row r="26" hidden="1" ht="13.5" customHeight="1" s="189" thickBot="1">
      <c r="C26" s="29">
        <f>IF(tot_ONB_aanvang_1&lt;&gt;"","Kans dat functie "&amp;Algemeen!FF5&amp;" niet beschikbaar is bij aanvang fietstocht",0)</f>
        <v/>
      </c>
      <c r="D26" s="236" t="n"/>
      <c r="E26" s="236" t="n"/>
      <c r="F26" s="236" t="n"/>
      <c r="G26" s="236" t="n"/>
      <c r="H26" s="30">
        <f>IF(tot_ONB_aanvang_1&lt;&gt;"",tot_ONB_aanvang_1*100,0)</f>
        <v/>
      </c>
      <c r="I26" s="31">
        <f>IF(tot_ONB_missie_1&lt;&gt;"","[%]",0)</f>
        <v/>
      </c>
    </row>
    <row r="27" ht="13.5" customHeight="1" s="189" thickBot="1"/>
    <row r="28">
      <c r="C28" s="23">
        <f>IF(tot_storing_2&lt;&gt;"","Totale storingsfrequentie van "&amp;Algemeen!FM5,0)</f>
        <v/>
      </c>
      <c r="D28" s="181" t="n"/>
      <c r="E28" s="181" t="n"/>
      <c r="F28" s="181" t="n"/>
      <c r="G28" s="181" t="n"/>
      <c r="H28" s="124">
        <f>IF(tot_storing_2&lt;&gt;"",tot_storing_2*8760,0)</f>
        <v/>
      </c>
      <c r="I28" s="25" t="inlineStr">
        <is>
          <t>[1/jaar]</t>
        </is>
      </c>
    </row>
    <row r="29">
      <c r="C29" s="188" t="n"/>
      <c r="H29" s="140" t="n"/>
      <c r="I29" s="187" t="n"/>
    </row>
    <row r="30">
      <c r="C30" s="26">
        <f>IF(tot_storing_missie_2&lt;&gt;"","Storingsvrije functie "&amp;Algemeen!FM5&amp;"",0)</f>
        <v/>
      </c>
      <c r="H30" s="27">
        <f>100*EXP(-tot_storing_missie_2*Missieduur)</f>
        <v/>
      </c>
      <c r="I30" s="32" t="inlineStr">
        <is>
          <t>[% tochten]</t>
        </is>
      </c>
    </row>
    <row r="31">
      <c r="C31" s="188" t="n"/>
      <c r="H31" s="140" t="n"/>
      <c r="I31" s="187" t="n"/>
    </row>
    <row r="32" ht="13.5" customHeight="1" s="189" thickBot="1">
      <c r="C32" s="29">
        <f>IF(tot_ONB_missie_2&lt;&gt;"","Totale ONB tijdens functie "&amp;Algemeen!FM5,0)</f>
        <v/>
      </c>
      <c r="D32" s="236" t="n"/>
      <c r="E32" s="236" t="n"/>
      <c r="F32" s="236" t="n"/>
      <c r="G32" s="236" t="n"/>
      <c r="H32" s="30">
        <f>IF(tot_ONB_missie_2&lt;&gt;"",tot_ONB_missie_2*100,0)</f>
        <v/>
      </c>
      <c r="I32" s="31">
        <f>IF(tot_ONB_missie_1&lt;&gt;"","[%]",0)</f>
        <v/>
      </c>
    </row>
    <row r="33" hidden="1" s="189">
      <c r="C33" s="188" t="n"/>
      <c r="H33" s="140" t="n"/>
      <c r="I33" s="187" t="n"/>
    </row>
    <row r="34" hidden="1" ht="13.5" customHeight="1" s="189" thickBot="1">
      <c r="C34" s="29">
        <f>IF(tot_ONB_aanvang_2&lt;&gt;"","Kans dat "&amp;Algemeen!FM5&amp;" niet beschikbaar is bij aanvang fietstocht",0)</f>
        <v/>
      </c>
      <c r="D34" s="236" t="n"/>
      <c r="E34" s="236" t="n"/>
      <c r="F34" s="236" t="n"/>
      <c r="G34" s="236" t="n"/>
      <c r="H34" s="30">
        <f>IF(tot_ONB_aanvang_2&lt;&gt;"",tot_ONB_aanvang_2*100,0)</f>
        <v/>
      </c>
      <c r="I34" s="31">
        <f>IF(tot_ONB_missie_1&lt;&gt;"","[%]",0)</f>
        <v/>
      </c>
    </row>
    <row r="36" hidden="1" s="189">
      <c r="C36" s="23">
        <f>IF(tot_storing_3&lt;&gt;"","Totale storingsfrequentie van "&amp;Algemeen!FT5,0)</f>
        <v/>
      </c>
      <c r="D36" s="181" t="n"/>
      <c r="E36" s="181" t="n"/>
      <c r="F36" s="181" t="n"/>
      <c r="G36" s="181" t="n"/>
      <c r="H36" s="24">
        <f>IF(tot_storing_3&lt;&gt;"",tot_storing_3*8760,0)</f>
        <v/>
      </c>
      <c r="I36" s="25" t="inlineStr">
        <is>
          <t>[1/jaar]</t>
        </is>
      </c>
    </row>
    <row r="37" hidden="1" s="189">
      <c r="C37" s="188" t="n"/>
      <c r="H37" s="140" t="n"/>
      <c r="I37" s="187" t="n"/>
    </row>
    <row r="38" hidden="1" s="189">
      <c r="C38" s="26">
        <f>IF(tot_storing_missie_3&lt;&gt;"","Storingsvrije "&amp;Algemeen!FT5&amp;" missie",0)</f>
        <v/>
      </c>
      <c r="H38" s="27">
        <f>100*EXP(-tot_storing_missie_3*Missieduur)</f>
        <v/>
      </c>
      <c r="I38" s="32" t="inlineStr">
        <is>
          <t>[% missies]</t>
        </is>
      </c>
    </row>
    <row r="39" hidden="1" s="189">
      <c r="C39" s="188" t="n"/>
      <c r="H39" s="140" t="n"/>
      <c r="I39" s="187" t="n"/>
    </row>
    <row r="40" hidden="1" s="189">
      <c r="C40" s="26">
        <f>IF(tot_ONB_missie_3&lt;&gt;"","Totale ONB tijdens missie van "&amp;Algemeen!FT5,0)</f>
        <v/>
      </c>
      <c r="H40" s="27">
        <f>IF(tot_ONB_missie_3&lt;&gt;"",tot_ONB_missie_3*100,0)</f>
        <v/>
      </c>
      <c r="I40" s="28">
        <f>IF(tot_ONB_missie_1&lt;&gt;"","[%]",0)</f>
        <v/>
      </c>
    </row>
    <row r="41" hidden="1" ht="12.75" customHeight="1" s="189">
      <c r="C41" s="188" t="n"/>
      <c r="H41" s="140" t="n"/>
      <c r="I41" s="187" t="n"/>
    </row>
    <row r="42" hidden="1" ht="13.5" customHeight="1" s="189" thickBot="1">
      <c r="C42" s="29">
        <f>IF(tot_ONB_aanvang_3&lt;&gt;"","Kans dat "&amp;Algemeen!FT5&amp;" niet beschikbaar is bij aanvang missie",0)</f>
        <v/>
      </c>
      <c r="D42" s="236" t="n"/>
      <c r="E42" s="236" t="n"/>
      <c r="F42" s="236" t="n"/>
      <c r="G42" s="236" t="n"/>
      <c r="H42" s="30">
        <f>IF(tot_ONB_aanvang_3&lt;&gt;"",tot_ONB_aanvang_3*100,0)</f>
        <v/>
      </c>
      <c r="I42" s="31">
        <f>IF(tot_ONB_missie_1&lt;&gt;"","[%]",0)</f>
        <v/>
      </c>
    </row>
    <row r="43" hidden="1" ht="13.5" customHeight="1" s="189" thickBot="1"/>
    <row r="44" hidden="1" s="189">
      <c r="C44" s="23">
        <f>IF(tot_storing_4&lt;&gt;"","Totale storingsfrequentie van "&amp;Algemeen!GA5,0)</f>
        <v/>
      </c>
      <c r="D44" s="181" t="n"/>
      <c r="E44" s="181" t="n"/>
      <c r="F44" s="181" t="n"/>
      <c r="G44" s="181" t="n"/>
      <c r="H44" s="24">
        <f>IF(tot_storing_4&lt;&gt;"",tot_storing_4*8760,0)</f>
        <v/>
      </c>
      <c r="I44" s="25" t="inlineStr">
        <is>
          <t>[1/jaar]</t>
        </is>
      </c>
    </row>
    <row r="45" hidden="1" s="189">
      <c r="C45" s="188" t="n"/>
      <c r="H45" s="140" t="n"/>
      <c r="I45" s="187" t="n"/>
    </row>
    <row r="46" hidden="1" s="189">
      <c r="C46" s="26">
        <f>IF(tot_storing_missie_4&lt;&gt;"","Storingsvrije "&amp;Algemeen!GA5&amp;" missie",0)</f>
        <v/>
      </c>
      <c r="H46" s="27">
        <f>100*EXP(-tot_storing_missie_4*Missieduur)</f>
        <v/>
      </c>
      <c r="I46" s="32" t="inlineStr">
        <is>
          <t>[% missies]</t>
        </is>
      </c>
    </row>
    <row r="47" hidden="1" s="189">
      <c r="C47" s="188" t="n"/>
      <c r="H47" s="140" t="n"/>
      <c r="I47" s="187" t="n"/>
    </row>
    <row r="48" hidden="1" s="189">
      <c r="C48" s="26">
        <f>IF(tot_ONB_missie_4&lt;&gt;"","Totale ONB tijdens missie van "&amp;Algemeen!GA5,0)</f>
        <v/>
      </c>
      <c r="H48" s="27">
        <f>IF(tot_ONB_missie_4&lt;&gt;"",tot_ONB_missie_4*100,0)</f>
        <v/>
      </c>
      <c r="I48" s="28">
        <f>IF(tot_ONB_missie_1&lt;&gt;"","[%]",0)</f>
        <v/>
      </c>
    </row>
    <row r="49" hidden="1" s="189">
      <c r="C49" s="188" t="n"/>
      <c r="H49" s="140" t="n"/>
      <c r="I49" s="187" t="n"/>
    </row>
    <row r="50" hidden="1" ht="13.5" customHeight="1" s="189" thickBot="1">
      <c r="C50" s="29">
        <f>IF(tot_ONB_aanvang_4&lt;&gt;"","Kans dat "&amp;Algemeen!GA5&amp;" niet beschikbaar is bij aanvang missie",0)</f>
        <v/>
      </c>
      <c r="D50" s="236" t="n"/>
      <c r="E50" s="236" t="n"/>
      <c r="F50" s="236" t="n"/>
      <c r="G50" s="236" t="n"/>
      <c r="H50" s="30">
        <f>IF(tot_ONB_aanvang_4&lt;&gt;"",tot_ONB_aanvang_4*100,0)</f>
        <v/>
      </c>
      <c r="I50" s="31">
        <f>IF(tot_ONB_missie_1&lt;&gt;"","[%]",0)</f>
        <v/>
      </c>
    </row>
    <row r="51" hidden="1" ht="13.5" customHeight="1" s="189" thickBot="1"/>
    <row r="52" hidden="1" s="189">
      <c r="C52" s="23">
        <f>IF(tot_storing_5&lt;&gt;"","Totale storingsfrequentie van "&amp;Algemeen!GH5,0)</f>
        <v/>
      </c>
      <c r="D52" s="181" t="n"/>
      <c r="E52" s="181" t="n"/>
      <c r="F52" s="181" t="n"/>
      <c r="G52" s="181" t="n"/>
      <c r="H52" s="24">
        <f>IF(tot_storing_5&lt;&gt;"",tot_storing_5*8760,0)</f>
        <v/>
      </c>
      <c r="I52" s="25" t="inlineStr">
        <is>
          <t>[1/jaar]</t>
        </is>
      </c>
    </row>
    <row r="53" hidden="1" s="189">
      <c r="C53" s="188" t="n"/>
      <c r="H53" s="140" t="n"/>
      <c r="I53" s="187" t="n"/>
    </row>
    <row r="54" hidden="1" s="189">
      <c r="C54" s="26">
        <f>IF(tot_storing_missie_5&lt;&gt;"","Storingsvrije "&amp;Algemeen!GH5&amp;" missie",0)</f>
        <v/>
      </c>
      <c r="H54" s="27">
        <f>100*EXP(-tot_storing_missie_5*Missieduur)</f>
        <v/>
      </c>
      <c r="I54" s="32" t="inlineStr">
        <is>
          <t>[% missies]</t>
        </is>
      </c>
    </row>
    <row r="55" hidden="1" s="189">
      <c r="C55" s="188" t="n"/>
      <c r="H55" s="140" t="n"/>
      <c r="I55" s="187" t="n"/>
    </row>
    <row r="56" hidden="1" s="189">
      <c r="C56" s="26">
        <f>IF(tot_ONB_missie_5&lt;&gt;"","Totale ONB tijdens missie van "&amp;Algemeen!GH5,0)</f>
        <v/>
      </c>
      <c r="H56" s="27">
        <f>IF(tot_ONB_missie_5&lt;&gt;"",tot_ONB_missie_5*100,0)</f>
        <v/>
      </c>
      <c r="I56" s="28">
        <f>IF(tot_ONB_missie_1&lt;&gt;"","[%]",0)</f>
        <v/>
      </c>
    </row>
    <row r="57" hidden="1" s="189">
      <c r="C57" s="188" t="n"/>
      <c r="H57" s="140" t="n"/>
      <c r="I57" s="187" t="n"/>
    </row>
    <row r="58" hidden="1" ht="13.5" customHeight="1" s="189" thickBot="1">
      <c r="C58" s="29">
        <f>IF(tot_ONB_aanvang_5&lt;&gt;"","Kans dat "&amp;Algemeen!GH5&amp;" niet beschikbaar is bij aanvang missie",0)</f>
        <v/>
      </c>
      <c r="D58" s="236" t="n"/>
      <c r="E58" s="236" t="n"/>
      <c r="F58" s="236" t="n"/>
      <c r="G58" s="236" t="n"/>
      <c r="H58" s="30">
        <f>IF(tot_ONB_aanvang_5&lt;&gt;"",tot_ONB_aanvang_5*100,0)</f>
        <v/>
      </c>
      <c r="I58" s="31">
        <f>IF(tot_ONB_missie_1&lt;&gt;"","[%]",0)</f>
        <v/>
      </c>
    </row>
    <row r="59" hidden="1" s="189"/>
    <row r="60" hidden="1" s="189">
      <c r="C60" s="23">
        <f>IF(tot_storing_6&lt;&gt;"","Totale storingsfrequentie van "&amp;Algemeen!GO5,0)</f>
        <v/>
      </c>
      <c r="D60" s="181" t="n"/>
      <c r="E60" s="181" t="n"/>
      <c r="F60" s="181" t="n"/>
      <c r="G60" s="181" t="n"/>
      <c r="H60" s="24">
        <f>IF(tot_storing_6&lt;&gt;"",tot_storing_6*8760,0)</f>
        <v/>
      </c>
      <c r="I60" s="25" t="inlineStr">
        <is>
          <t>[1/jaar]</t>
        </is>
      </c>
    </row>
    <row r="61" hidden="1" s="189">
      <c r="C61" s="188" t="n"/>
      <c r="H61" s="140" t="n"/>
      <c r="I61" s="187" t="n"/>
    </row>
    <row r="62" hidden="1" s="189">
      <c r="C62" s="26">
        <f>IF(tot_storing_missie_6&lt;&gt;"","Storingsvrije "&amp;Algemeen!GO5&amp;" missie",0)</f>
        <v/>
      </c>
      <c r="H62" s="27">
        <f>100*EXP(-tot_storing_missie_6*Missieduur)</f>
        <v/>
      </c>
      <c r="I62" s="32" t="inlineStr">
        <is>
          <t>[% missies]</t>
        </is>
      </c>
    </row>
    <row r="63" hidden="1" s="189">
      <c r="C63" s="188" t="n"/>
      <c r="H63" s="140" t="n"/>
      <c r="I63" s="187" t="n"/>
    </row>
    <row r="64" hidden="1" s="189">
      <c r="C64" s="26">
        <f>IF(tot_ONB_missie_6&lt;&gt;"","Totale ONB tijdens missie van "&amp;Algemeen!GO5,0)</f>
        <v/>
      </c>
      <c r="H64" s="27">
        <f>IF(tot_ONB_missie_6&lt;&gt;"",tot_ONB_missie_6*100,0)</f>
        <v/>
      </c>
      <c r="I64" s="28">
        <f>IF(tot_ONB_missie_1&lt;&gt;"","[%]",0)</f>
        <v/>
      </c>
    </row>
    <row r="65" hidden="1" s="189">
      <c r="C65" s="188" t="n"/>
      <c r="H65" s="140" t="n"/>
      <c r="I65" s="187" t="n"/>
    </row>
    <row r="66" hidden="1" ht="13.5" customHeight="1" s="189" thickBot="1">
      <c r="C66" s="29">
        <f>IF(tot_ONB_aanvang_6&lt;&gt;"","Kans dat "&amp;Algemeen!GO5&amp;" niet beschikbaar is bij aanvang missie",0)</f>
        <v/>
      </c>
      <c r="D66" s="236" t="n"/>
      <c r="E66" s="236" t="n"/>
      <c r="F66" s="236" t="n"/>
      <c r="G66" s="236" t="n"/>
      <c r="H66" s="30">
        <f>IF(tot_ONB_aanvang_6&lt;&gt;"",tot_ONB_aanvang_6*100,0)</f>
        <v/>
      </c>
      <c r="I66" s="31">
        <f>IF(tot_ONB_missie_1&lt;&gt;"","[%]",0)</f>
        <v/>
      </c>
    </row>
    <row r="67" hidden="1" ht="13.5" customHeight="1" s="189" thickBot="1"/>
    <row r="68" hidden="1" s="189">
      <c r="C68" s="23">
        <f>IF(tot_storing_7&lt;&gt;"","Totale storingsfrequentie van "&amp;Algemeen!GV5,0)</f>
        <v/>
      </c>
      <c r="D68" s="181" t="n"/>
      <c r="E68" s="181" t="n"/>
      <c r="F68" s="181" t="n"/>
      <c r="G68" s="181" t="n"/>
      <c r="H68" s="24">
        <f>IF(tot_storing_7&lt;&gt;"",tot_storing_7*8760,0)</f>
        <v/>
      </c>
      <c r="I68" s="25" t="inlineStr">
        <is>
          <t>[1/jaar]</t>
        </is>
      </c>
    </row>
    <row r="69" hidden="1" s="189">
      <c r="C69" s="188" t="n"/>
      <c r="H69" s="140" t="n"/>
      <c r="I69" s="187" t="n"/>
    </row>
    <row r="70" hidden="1" s="189">
      <c r="C70" s="26">
        <f>IF(tot_storing_missie_7&lt;&gt;"","Storingsvrije "&amp;Algemeen!GV5&amp;" missie",0)</f>
        <v/>
      </c>
      <c r="H70" s="27">
        <f>100*EXP(-tot_storing_missie_7*Missieduur)</f>
        <v/>
      </c>
      <c r="I70" s="32" t="inlineStr">
        <is>
          <t>[% missies]</t>
        </is>
      </c>
    </row>
    <row r="71" hidden="1" s="189">
      <c r="C71" s="188" t="n"/>
      <c r="H71" s="140" t="n"/>
      <c r="I71" s="187" t="n"/>
    </row>
    <row r="72" hidden="1" s="189">
      <c r="C72" s="26">
        <f>IF(tot_ONB_missie_7&lt;&gt;"","Totale ONB tijdens missie van "&amp;Algemeen!GV5,0)</f>
        <v/>
      </c>
      <c r="H72" s="27">
        <f>IF(tot_ONB_missie_7&lt;&gt;"",tot_ONB_missie_7*100,0)</f>
        <v/>
      </c>
      <c r="I72" s="28">
        <f>IF(tot_ONB_missie_1&lt;&gt;"","[%]",0)</f>
        <v/>
      </c>
    </row>
    <row r="73" hidden="1" s="189">
      <c r="C73" s="188" t="n"/>
      <c r="H73" s="140" t="n"/>
      <c r="I73" s="187" t="n"/>
    </row>
    <row r="74" hidden="1" ht="13.5" customHeight="1" s="189" thickBot="1">
      <c r="C74" s="29">
        <f>IF(tot_ONB_aanvang_7&lt;&gt;"","Kans dat "&amp;Algemeen!GV5&amp;" niet beschikbaar is bij aanvang missie",0)</f>
        <v/>
      </c>
      <c r="D74" s="236" t="n"/>
      <c r="E74" s="236" t="n"/>
      <c r="F74" s="236" t="n"/>
      <c r="G74" s="236" t="n"/>
      <c r="H74" s="30">
        <f>IF(tot_ONB_aanvang_7&lt;&gt;"",tot_ONB_aanvang_7*100,0)</f>
        <v/>
      </c>
      <c r="I74" s="31">
        <f>IF(tot_ONB_missie_1&lt;&gt;"","[%]",0)</f>
        <v/>
      </c>
    </row>
    <row r="75" hidden="1" ht="13.5" customHeight="1" s="189" thickBot="1"/>
    <row r="76" hidden="1" s="189">
      <c r="C76" s="23">
        <f>IF(tot_storing_8&lt;&gt;"","Totale storingsfrequentie van "&amp;Algemeen!HC5,0)</f>
        <v/>
      </c>
      <c r="D76" s="181" t="n"/>
      <c r="E76" s="181" t="n"/>
      <c r="F76" s="181" t="n"/>
      <c r="G76" s="181" t="n"/>
      <c r="H76" s="24">
        <f>IF(tot_storing_8&lt;&gt;"",tot_storing_8*8760,0)</f>
        <v/>
      </c>
      <c r="I76" s="25" t="inlineStr">
        <is>
          <t>[1/jaar]</t>
        </is>
      </c>
    </row>
    <row r="77" hidden="1" s="189">
      <c r="C77" s="188" t="n"/>
      <c r="H77" s="140" t="n"/>
      <c r="I77" s="187" t="n"/>
    </row>
    <row r="78" hidden="1" s="189">
      <c r="C78" s="26">
        <f>IF(tot_storing_missie_8&lt;&gt;"","Storingsvrije "&amp;Algemeen!HC5&amp;" missie",0)</f>
        <v/>
      </c>
      <c r="H78" s="27">
        <f>100*EXP(-tot_storing_missie_8*Missieduur)</f>
        <v/>
      </c>
      <c r="I78" s="32" t="inlineStr">
        <is>
          <t>[% missies]</t>
        </is>
      </c>
    </row>
    <row r="79" hidden="1" s="189">
      <c r="C79" s="188" t="n"/>
      <c r="H79" s="140" t="n"/>
      <c r="I79" s="187" t="n"/>
    </row>
    <row r="80" hidden="1" s="189">
      <c r="C80" s="26">
        <f>IF(tot_ONB_missie_8&lt;&gt;"","Totale ONB tijdens missie van "&amp;Algemeen!HC5,0)</f>
        <v/>
      </c>
      <c r="H80" s="27">
        <f>IF(tot_ONB_missie_8&lt;&gt;"",tot_ONB_missie_8*100,0)</f>
        <v/>
      </c>
      <c r="I80" s="28">
        <f>IF(tot_ONB_missie_1&lt;&gt;"","[%]",0)</f>
        <v/>
      </c>
    </row>
    <row r="81" hidden="1" s="189">
      <c r="C81" s="188" t="n"/>
      <c r="H81" s="140" t="n"/>
      <c r="I81" s="187" t="n"/>
    </row>
    <row r="82" hidden="1" ht="13.5" customHeight="1" s="189" thickBot="1">
      <c r="C82" s="29">
        <f>IF(tot_ONB_aanvang_8&lt;&gt;"","Kans dat "&amp;Algemeen!HC5&amp;" niet beschikbaar is bij aanvang missie",0)</f>
        <v/>
      </c>
      <c r="D82" s="236" t="n"/>
      <c r="E82" s="236" t="n"/>
      <c r="F82" s="236" t="n"/>
      <c r="G82" s="236" t="n"/>
      <c r="H82" s="30">
        <f>IF(tot_ONB_aanvang_8&lt;&gt;"",tot_ONB_aanvang_8*100,0)</f>
        <v/>
      </c>
      <c r="I82" s="31">
        <f>IF(tot_ONB_missie_1&lt;&gt;"","[%]",0)</f>
        <v/>
      </c>
    </row>
    <row r="83" hidden="1" ht="13.5" customHeight="1" s="189" thickBot="1"/>
    <row r="84" hidden="1" s="189">
      <c r="C84" s="23">
        <f>IF(tot_storing_9&lt;&gt;"","Totale storingsfrequentie van "&amp;Algemeen!HJ5,0)</f>
        <v/>
      </c>
      <c r="D84" s="181" t="n"/>
      <c r="E84" s="181" t="n"/>
      <c r="F84" s="181" t="n"/>
      <c r="G84" s="181" t="n"/>
      <c r="H84" s="24">
        <f>IF(tot_storing_9&lt;&gt;"",tot_storing_9*8760,0)</f>
        <v/>
      </c>
      <c r="I84" s="25" t="inlineStr">
        <is>
          <t>[1/jaar]</t>
        </is>
      </c>
    </row>
    <row r="85" hidden="1" s="189">
      <c r="C85" s="188" t="n"/>
      <c r="H85" s="140" t="n"/>
      <c r="I85" s="187" t="n"/>
    </row>
    <row r="86" hidden="1" s="189">
      <c r="C86" s="26">
        <f>IF(tot_storing_missie_9&lt;&gt;"","Storingsvrije "&amp;Algemeen!HJ5&amp;" missie",0)</f>
        <v/>
      </c>
      <c r="H86" s="27">
        <f>100*EXP(-tot_storing_missie_9*Missieduur)</f>
        <v/>
      </c>
      <c r="I86" s="32" t="inlineStr">
        <is>
          <t>[% missies]</t>
        </is>
      </c>
    </row>
    <row r="87" hidden="1" s="189">
      <c r="C87" s="188" t="n"/>
      <c r="H87" s="140" t="n"/>
      <c r="I87" s="187" t="n"/>
    </row>
    <row r="88" hidden="1" s="189">
      <c r="C88" s="26">
        <f>IF(tot_ONB_missie_9&lt;&gt;"","Totale ONB tijdens missie van "&amp;Algemeen!HJ5,0)</f>
        <v/>
      </c>
      <c r="H88" s="27">
        <f>IF(tot_ONB_missie_9&lt;&gt;"",tot_ONB_missie_9*100,0)</f>
        <v/>
      </c>
      <c r="I88" s="28">
        <f>IF(tot_ONB_missie_1&lt;&gt;"","[%]",0)</f>
        <v/>
      </c>
    </row>
    <row r="89" hidden="1" s="189">
      <c r="C89" s="188" t="n"/>
      <c r="H89" s="140" t="n"/>
      <c r="I89" s="187" t="n"/>
    </row>
    <row r="90" hidden="1" ht="13.5" customHeight="1" s="189" thickBot="1">
      <c r="C90" s="29">
        <f>IF(tot_ONB_aanvang_9&lt;&gt;"","Kans dat "&amp;Algemeen!HJ5&amp;" niet beschikbaar is bij aanvang missie",0)</f>
        <v/>
      </c>
      <c r="D90" s="236" t="n"/>
      <c r="E90" s="236" t="n"/>
      <c r="F90" s="236" t="n"/>
      <c r="G90" s="236" t="n"/>
      <c r="H90" s="30">
        <f>IF(tot_ONB_aanvang_9&lt;&gt;"",tot_ONB_aanvang_9*100,0)</f>
        <v/>
      </c>
      <c r="I90" s="31">
        <f>IF(tot_ONB_missie_1&lt;&gt;"","[%]",0)</f>
        <v/>
      </c>
    </row>
    <row r="91" hidden="1" ht="13.5" customHeight="1" s="189" thickBot="1"/>
    <row r="92" hidden="1" s="189">
      <c r="C92" s="23">
        <f>IF(tot_storing_10&lt;&gt;"","Totale storingsfrequentie van "&amp;Algemeen!HQ5,0)</f>
        <v/>
      </c>
      <c r="D92" s="181" t="n"/>
      <c r="E92" s="181" t="n"/>
      <c r="F92" s="181" t="n"/>
      <c r="G92" s="181" t="n"/>
      <c r="H92" s="24">
        <f>IF(tot_storing_10&lt;&gt;"",tot_storing_10*8760,0)</f>
        <v/>
      </c>
      <c r="I92" s="25" t="inlineStr">
        <is>
          <t>[1/jaar]</t>
        </is>
      </c>
    </row>
    <row r="93" hidden="1" s="189">
      <c r="C93" s="188" t="n"/>
      <c r="H93" s="140" t="n"/>
      <c r="I93" s="187" t="n"/>
    </row>
    <row r="94" hidden="1" s="189">
      <c r="C94" s="26">
        <f>IF(tot_storing_missie_10&lt;&gt;"","Storingsvrije "&amp;Algemeen!HQ5&amp;" missie",0)</f>
        <v/>
      </c>
      <c r="H94" s="27">
        <f>100*EXP(-tot_storing_missie_10*Missieduur)</f>
        <v/>
      </c>
      <c r="I94" s="32" t="inlineStr">
        <is>
          <t>[% missies]</t>
        </is>
      </c>
    </row>
    <row r="95" hidden="1" s="189">
      <c r="C95" s="188" t="n"/>
      <c r="H95" s="140" t="n"/>
      <c r="I95" s="187" t="n"/>
    </row>
    <row r="96" hidden="1" s="189">
      <c r="C96" s="26">
        <f>IF(tot_ONB_missie_10&lt;&gt;"","Totale ONB tijdens missie van "&amp;Algemeen!HQ5,0)</f>
        <v/>
      </c>
      <c r="H96" s="27">
        <f>IF(tot_ONB_missie_10&lt;&gt;"",tot_ONB_missie_10*100,0)</f>
        <v/>
      </c>
      <c r="I96" s="28">
        <f>IF(tot_ONB_missie_1&lt;&gt;"","[%]",0)</f>
        <v/>
      </c>
    </row>
    <row r="97" hidden="1" s="189">
      <c r="C97" s="188" t="n"/>
      <c r="H97" s="140" t="n"/>
      <c r="I97" s="187" t="n"/>
    </row>
    <row r="98" hidden="1" ht="13.5" customHeight="1" s="189" thickBot="1">
      <c r="C98" s="29">
        <f>IF(tot_ONB_aanvang_10&lt;&gt;"","Kans dat "&amp;Algemeen!HQ5&amp;" niet beschikbaar is bij aanvang missie",0)</f>
        <v/>
      </c>
      <c r="D98" s="236" t="n"/>
      <c r="E98" s="236" t="n"/>
      <c r="F98" s="236" t="n"/>
      <c r="G98" s="236" t="n"/>
      <c r="H98" s="30">
        <f>IF(tot_ONB_aanvang_10&lt;&gt;"",tot_ONB_aanvang_10*100,0)</f>
        <v/>
      </c>
      <c r="I98" s="31">
        <f>IF(tot_ONB_missie_1&lt;&gt;"","[%]",0)</f>
        <v/>
      </c>
    </row>
    <row r="99" hidden="1" s="189"/>
  </sheetData>
  <sheetProtection selectLockedCells="0" selectUnlockedCells="0" sheet="1" objects="1" insertRows="0" insertHyperlinks="1" autoFilter="0" scenarios="1" formatColumns="0" deleteColumns="1" insertColumns="1" pivotTables="1" deleteRows="0" formatCells="1" formatRows="0" sort="0"/>
  <pageMargins left="0.75" right="0.75" top="1" bottom="1" header="0.5" footer="0.5"/>
  <pageSetup orientation="portrait" paperSize="9" scale="85" horizontalDpi="300" verticalDpi="300"/>
  <legacyDrawing xmlns:r="http://schemas.openxmlformats.org/officeDocument/2006/relationships" r:id="anysvml"/>
</worksheet>
</file>

<file path=xl/worksheets/sheet9.xml><?xml version="1.0" encoding="utf-8"?>
<worksheet xmlns="http://schemas.openxmlformats.org/spreadsheetml/2006/main">
  <sheetPr>
    <tabColor rgb="008EA9DB"/>
    <outlinePr summaryBelow="1" summaryRight="1"/>
    <pageSetUpPr fitToPage="1"/>
  </sheetPr>
  <dimension ref="B2:G107"/>
  <sheetViews>
    <sheetView showGridLines="0" workbookViewId="0">
      <selection activeCell="A1" sqref="A1"/>
    </sheetView>
  </sheetViews>
  <sheetFormatPr baseColWidth="8" defaultRowHeight="15"/>
  <cols>
    <col width="3" customWidth="1" style="189" min="1" max="1"/>
    <col width="14" customWidth="1" style="189" min="2" max="2"/>
    <col width="34" customWidth="1" style="189" min="3" max="3"/>
    <col width="15" customWidth="1" style="189" min="4" max="4"/>
    <col width="30" customWidth="1" style="189" min="5" max="5"/>
    <col width="15" customWidth="1" style="189" min="6" max="6"/>
    <col width="15" customWidth="1" style="189" min="7" max="7"/>
  </cols>
  <sheetData>
    <row r="2">
      <c r="B2" s="569" t="inlineStr">
        <is>
          <t>Rapportdata</t>
        </is>
      </c>
    </row>
    <row r="3">
      <c r="B3" s="570" t="inlineStr">
        <is>
          <t>Rekenbladen achter de grafieken op de managementrapportage. Alles is formule: de cijfers komen rechtstreeks uit de tabbladen PO, TAO, SAO en Algemeen. Hier wordt niets ingevoerd.</t>
        </is>
      </c>
    </row>
    <row r="5">
      <c r="B5" s="571" t="inlineStr">
        <is>
          <t>1. Onderhoudskosten per jaar naar onderhoudssoort</t>
        </is>
      </c>
    </row>
    <row r="6" ht="26" customHeight="1" s="189">
      <c r="B6" s="572" t="inlineStr">
        <is>
          <t>Onderhoudssoort</t>
        </is>
      </c>
      <c r="C6" s="572" t="inlineStr">
        <is>
          <t>Kosten per jaar</t>
        </is>
      </c>
      <c r="D6" s="572" t="inlineStr">
        <is>
          <t>Aandeel</t>
        </is>
      </c>
    </row>
    <row r="7">
      <c r="B7" s="573" t="inlineStr">
        <is>
          <t>Periodiek onderhoud (PO)</t>
        </is>
      </c>
      <c r="C7" s="679">
        <f>PO!AR18</f>
        <v/>
      </c>
      <c r="D7" s="680">
        <f>IF($C$10=0,0,C7/$C$10)</f>
        <v/>
      </c>
    </row>
    <row r="8">
      <c r="B8" s="573" t="inlineStr">
        <is>
          <t>Toestandsafhankelijk onderhoud (TAO)</t>
        </is>
      </c>
      <c r="C8" s="679">
        <f>TAO!AN17</f>
        <v/>
      </c>
      <c r="D8" s="680">
        <f>IF($C$10=0,0,C8/$C$10)</f>
        <v/>
      </c>
    </row>
    <row r="9">
      <c r="B9" s="573" t="inlineStr">
        <is>
          <t>Correctief onderhoud (SAO)</t>
        </is>
      </c>
      <c r="C9" s="679">
        <f>SAO!AP21</f>
        <v/>
      </c>
      <c r="D9" s="680">
        <f>IF($C$10=0,0,C9/$C$10)</f>
        <v/>
      </c>
    </row>
    <row r="10">
      <c r="B10" s="576" t="inlineStr">
        <is>
          <t>Totaal</t>
        </is>
      </c>
      <c r="C10" s="681">
        <f>SUM(C7:C9)</f>
        <v/>
      </c>
      <c r="D10" s="578" t="n"/>
    </row>
    <row r="13">
      <c r="B13" s="571" t="inlineStr">
        <is>
          <t>2. Onderhoudskosten per jaar per component (alle regels uit PO, TAO en SAO)</t>
        </is>
      </c>
    </row>
    <row r="14" ht="26" customHeight="1" s="189">
      <c r="B14" s="572" t="inlineStr">
        <is>
          <t>Bron</t>
        </is>
      </c>
      <c r="C14" s="572" t="inlineStr">
        <is>
          <t>Component</t>
        </is>
      </c>
      <c r="D14" s="572" t="inlineStr">
        <is>
          <t>Kosten regel</t>
        </is>
      </c>
      <c r="E14" s="572" t="inlineStr">
        <is>
          <t>Eerste voorkomen</t>
        </is>
      </c>
      <c r="F14" s="572" t="inlineStr">
        <is>
          <t>Totaal component</t>
        </is>
      </c>
      <c r="G14" s="572" t="inlineStr">
        <is>
          <t>Sorteerwaarde</t>
        </is>
      </c>
    </row>
    <row r="15">
      <c r="B15" s="579" t="inlineStr">
        <is>
          <t>PO</t>
        </is>
      </c>
      <c r="C15" s="580">
        <f>IF(PO!K7="","",PO!K7)</f>
        <v/>
      </c>
      <c r="D15" s="682">
        <f>IF($C15="","",IFERROR(PO!AR7,0))</f>
        <v/>
      </c>
      <c r="E15" s="580">
        <f>IF($C15="","",IF(COUNTIF($C$15:$C15,$C15)=1,$C15,""))</f>
        <v/>
      </c>
      <c r="F15" s="682">
        <f>IF($E15="","",SUMIF(PO!$K$7:$K$17,$E15,PO!$AR$7:$AR$17)+SUMIF(TAO!$K$7:$K$15,$E15,TAO!$AN$7:$AN$15)+SUMIF(SAO!$K$7:$K$19,$E15,SAO!$AP$7:$AP$19))</f>
        <v/>
      </c>
      <c r="G15" s="683">
        <f>IF(OR($F15="",$F15&lt;=0),"",$F15+0*0.000001)</f>
        <v/>
      </c>
    </row>
    <row r="16">
      <c r="B16" s="579" t="inlineStr">
        <is>
          <t>PO</t>
        </is>
      </c>
      <c r="C16" s="580">
        <f>IF(PO!K8="","",PO!K8)</f>
        <v/>
      </c>
      <c r="D16" s="682">
        <f>IF($C16="","",IFERROR(PO!AR8,0))</f>
        <v/>
      </c>
      <c r="E16" s="580">
        <f>IF($C16="","",IF(COUNTIF($C$15:$C16,$C16)=1,$C16,""))</f>
        <v/>
      </c>
      <c r="F16" s="682">
        <f>IF($E16="","",SUMIF(PO!$K$7:$K$17,$E16,PO!$AR$7:$AR$17)+SUMIF(TAO!$K$7:$K$15,$E16,TAO!$AN$7:$AN$15)+SUMIF(SAO!$K$7:$K$19,$E16,SAO!$AP$7:$AP$19))</f>
        <v/>
      </c>
      <c r="G16" s="683">
        <f>IF(OR($F16="",$F16&lt;=0),"",$F16+1*0.000001)</f>
        <v/>
      </c>
    </row>
    <row r="17">
      <c r="B17" s="579" t="inlineStr">
        <is>
          <t>PO</t>
        </is>
      </c>
      <c r="C17" s="580">
        <f>IF(PO!K9="","",PO!K9)</f>
        <v/>
      </c>
      <c r="D17" s="682">
        <f>IF($C17="","",IFERROR(PO!AR9,0))</f>
        <v/>
      </c>
      <c r="E17" s="580">
        <f>IF($C17="","",IF(COUNTIF($C$15:$C17,$C17)=1,$C17,""))</f>
        <v/>
      </c>
      <c r="F17" s="682">
        <f>IF($E17="","",SUMIF(PO!$K$7:$K$17,$E17,PO!$AR$7:$AR$17)+SUMIF(TAO!$K$7:$K$15,$E17,TAO!$AN$7:$AN$15)+SUMIF(SAO!$K$7:$K$19,$E17,SAO!$AP$7:$AP$19))</f>
        <v/>
      </c>
      <c r="G17" s="683">
        <f>IF(OR($F17="",$F17&lt;=0),"",$F17+2*0.000001)</f>
        <v/>
      </c>
    </row>
    <row r="18">
      <c r="B18" s="579" t="inlineStr">
        <is>
          <t>PO</t>
        </is>
      </c>
      <c r="C18" s="580">
        <f>IF(PO!K10="","",PO!K10)</f>
        <v/>
      </c>
      <c r="D18" s="682">
        <f>IF($C18="","",IFERROR(PO!AR10,0))</f>
        <v/>
      </c>
      <c r="E18" s="580">
        <f>IF($C18="","",IF(COUNTIF($C$15:$C18,$C18)=1,$C18,""))</f>
        <v/>
      </c>
      <c r="F18" s="682">
        <f>IF($E18="","",SUMIF(PO!$K$7:$K$17,$E18,PO!$AR$7:$AR$17)+SUMIF(TAO!$K$7:$K$15,$E18,TAO!$AN$7:$AN$15)+SUMIF(SAO!$K$7:$K$19,$E18,SAO!$AP$7:$AP$19))</f>
        <v/>
      </c>
      <c r="G18" s="683">
        <f>IF(OR($F18="",$F18&lt;=0),"",$F18+3*0.000001)</f>
        <v/>
      </c>
    </row>
    <row r="19">
      <c r="B19" s="579" t="inlineStr">
        <is>
          <t>PO</t>
        </is>
      </c>
      <c r="C19" s="580">
        <f>IF(PO!K11="","",PO!K11)</f>
        <v/>
      </c>
      <c r="D19" s="682">
        <f>IF($C19="","",IFERROR(PO!AR11,0))</f>
        <v/>
      </c>
      <c r="E19" s="580">
        <f>IF($C19="","",IF(COUNTIF($C$15:$C19,$C19)=1,$C19,""))</f>
        <v/>
      </c>
      <c r="F19" s="682">
        <f>IF($E19="","",SUMIF(PO!$K$7:$K$17,$E19,PO!$AR$7:$AR$17)+SUMIF(TAO!$K$7:$K$15,$E19,TAO!$AN$7:$AN$15)+SUMIF(SAO!$K$7:$K$19,$E19,SAO!$AP$7:$AP$19))</f>
        <v/>
      </c>
      <c r="G19" s="683">
        <f>IF(OR($F19="",$F19&lt;=0),"",$F19+4*0.000001)</f>
        <v/>
      </c>
    </row>
    <row r="20">
      <c r="B20" s="579" t="inlineStr">
        <is>
          <t>PO</t>
        </is>
      </c>
      <c r="C20" s="580">
        <f>IF(PO!K12="","",PO!K12)</f>
        <v/>
      </c>
      <c r="D20" s="682">
        <f>IF($C20="","",IFERROR(PO!AR12,0))</f>
        <v/>
      </c>
      <c r="E20" s="580">
        <f>IF($C20="","",IF(COUNTIF($C$15:$C20,$C20)=1,$C20,""))</f>
        <v/>
      </c>
      <c r="F20" s="682">
        <f>IF($E20="","",SUMIF(PO!$K$7:$K$17,$E20,PO!$AR$7:$AR$17)+SUMIF(TAO!$K$7:$K$15,$E20,TAO!$AN$7:$AN$15)+SUMIF(SAO!$K$7:$K$19,$E20,SAO!$AP$7:$AP$19))</f>
        <v/>
      </c>
      <c r="G20" s="683">
        <f>IF(OR($F20="",$F20&lt;=0),"",$F20+5*0.000001)</f>
        <v/>
      </c>
    </row>
    <row r="21">
      <c r="B21" s="579" t="inlineStr">
        <is>
          <t>PO</t>
        </is>
      </c>
      <c r="C21" s="580">
        <f>IF(PO!K13="","",PO!K13)</f>
        <v/>
      </c>
      <c r="D21" s="682">
        <f>IF($C21="","",IFERROR(PO!AR13,0))</f>
        <v/>
      </c>
      <c r="E21" s="580">
        <f>IF($C21="","",IF(COUNTIF($C$15:$C21,$C21)=1,$C21,""))</f>
        <v/>
      </c>
      <c r="F21" s="682">
        <f>IF($E21="","",SUMIF(PO!$K$7:$K$17,$E21,PO!$AR$7:$AR$17)+SUMIF(TAO!$K$7:$K$15,$E21,TAO!$AN$7:$AN$15)+SUMIF(SAO!$K$7:$K$19,$E21,SAO!$AP$7:$AP$19))</f>
        <v/>
      </c>
      <c r="G21" s="683">
        <f>IF(OR($F21="",$F21&lt;=0),"",$F21+6*0.000001)</f>
        <v/>
      </c>
    </row>
    <row r="22">
      <c r="B22" s="579" t="inlineStr">
        <is>
          <t>PO</t>
        </is>
      </c>
      <c r="C22" s="580">
        <f>IF(PO!K14="","",PO!K14)</f>
        <v/>
      </c>
      <c r="D22" s="682">
        <f>IF($C22="","",IFERROR(PO!AR14,0))</f>
        <v/>
      </c>
      <c r="E22" s="580">
        <f>IF($C22="","",IF(COUNTIF($C$15:$C22,$C22)=1,$C22,""))</f>
        <v/>
      </c>
      <c r="F22" s="682">
        <f>IF($E22="","",SUMIF(PO!$K$7:$K$17,$E22,PO!$AR$7:$AR$17)+SUMIF(TAO!$K$7:$K$15,$E22,TAO!$AN$7:$AN$15)+SUMIF(SAO!$K$7:$K$19,$E22,SAO!$AP$7:$AP$19))</f>
        <v/>
      </c>
      <c r="G22" s="683">
        <f>IF(OR($F22="",$F22&lt;=0),"",$F22+7*0.000001)</f>
        <v/>
      </c>
    </row>
    <row r="23">
      <c r="B23" s="579" t="inlineStr">
        <is>
          <t>PO</t>
        </is>
      </c>
      <c r="C23" s="580">
        <f>IF(PO!K15="","",PO!K15)</f>
        <v/>
      </c>
      <c r="D23" s="682">
        <f>IF($C23="","",IFERROR(PO!AR15,0))</f>
        <v/>
      </c>
      <c r="E23" s="580">
        <f>IF($C23="","",IF(COUNTIF($C$15:$C23,$C23)=1,$C23,""))</f>
        <v/>
      </c>
      <c r="F23" s="682">
        <f>IF($E23="","",SUMIF(PO!$K$7:$K$17,$E23,PO!$AR$7:$AR$17)+SUMIF(TAO!$K$7:$K$15,$E23,TAO!$AN$7:$AN$15)+SUMIF(SAO!$K$7:$K$19,$E23,SAO!$AP$7:$AP$19))</f>
        <v/>
      </c>
      <c r="G23" s="683">
        <f>IF(OR($F23="",$F23&lt;=0),"",$F23+8*0.000001)</f>
        <v/>
      </c>
    </row>
    <row r="24">
      <c r="B24" s="579" t="inlineStr">
        <is>
          <t>PO</t>
        </is>
      </c>
      <c r="C24" s="580">
        <f>IF(PO!K16="","",PO!K16)</f>
        <v/>
      </c>
      <c r="D24" s="682">
        <f>IF($C24="","",IFERROR(PO!AR16,0))</f>
        <v/>
      </c>
      <c r="E24" s="580">
        <f>IF($C24="","",IF(COUNTIF($C$15:$C24,$C24)=1,$C24,""))</f>
        <v/>
      </c>
      <c r="F24" s="682">
        <f>IF($E24="","",SUMIF(PO!$K$7:$K$17,$E24,PO!$AR$7:$AR$17)+SUMIF(TAO!$K$7:$K$15,$E24,TAO!$AN$7:$AN$15)+SUMIF(SAO!$K$7:$K$19,$E24,SAO!$AP$7:$AP$19))</f>
        <v/>
      </c>
      <c r="G24" s="683">
        <f>IF(OR($F24="",$F24&lt;=0),"",$F24+9*0.000001)</f>
        <v/>
      </c>
    </row>
    <row r="25">
      <c r="B25" s="579" t="inlineStr">
        <is>
          <t>PO</t>
        </is>
      </c>
      <c r="C25" s="580">
        <f>IF(PO!K17="","",PO!K17)</f>
        <v/>
      </c>
      <c r="D25" s="682">
        <f>IF($C25="","",IFERROR(PO!AR17,0))</f>
        <v/>
      </c>
      <c r="E25" s="580">
        <f>IF($C25="","",IF(COUNTIF($C$15:$C25,$C25)=1,$C25,""))</f>
        <v/>
      </c>
      <c r="F25" s="682">
        <f>IF($E25="","",SUMIF(PO!$K$7:$K$17,$E25,PO!$AR$7:$AR$17)+SUMIF(TAO!$K$7:$K$15,$E25,TAO!$AN$7:$AN$15)+SUMIF(SAO!$K$7:$K$19,$E25,SAO!$AP$7:$AP$19))</f>
        <v/>
      </c>
      <c r="G25" s="683">
        <f>IF(OR($F25="",$F25&lt;=0),"",$F25+10*0.000001)</f>
        <v/>
      </c>
    </row>
    <row r="26">
      <c r="B26" s="579" t="inlineStr">
        <is>
          <t>TAO</t>
        </is>
      </c>
      <c r="C26" s="580">
        <f>IF(TAO!K7="","",TAO!K7)</f>
        <v/>
      </c>
      <c r="D26" s="682">
        <f>IF($C26="","",IFERROR(TAO!AN7,0))</f>
        <v/>
      </c>
      <c r="E26" s="580">
        <f>IF($C26="","",IF(COUNTIF($C$15:$C26,$C26)=1,$C26,""))</f>
        <v/>
      </c>
      <c r="F26" s="682">
        <f>IF($E26="","",SUMIF(PO!$K$7:$K$17,$E26,PO!$AR$7:$AR$17)+SUMIF(TAO!$K$7:$K$15,$E26,TAO!$AN$7:$AN$15)+SUMIF(SAO!$K$7:$K$19,$E26,SAO!$AP$7:$AP$19))</f>
        <v/>
      </c>
      <c r="G26" s="683">
        <f>IF(OR($F26="",$F26&lt;=0),"",$F26+11*0.000001)</f>
        <v/>
      </c>
    </row>
    <row r="27">
      <c r="B27" s="579" t="inlineStr">
        <is>
          <t>TAO</t>
        </is>
      </c>
      <c r="C27" s="580">
        <f>IF(TAO!K8="","",TAO!K8)</f>
        <v/>
      </c>
      <c r="D27" s="682">
        <f>IF($C27="","",IFERROR(TAO!AN8,0))</f>
        <v/>
      </c>
      <c r="E27" s="580">
        <f>IF($C27="","",IF(COUNTIF($C$15:$C27,$C27)=1,$C27,""))</f>
        <v/>
      </c>
      <c r="F27" s="682">
        <f>IF($E27="","",SUMIF(PO!$K$7:$K$17,$E27,PO!$AR$7:$AR$17)+SUMIF(TAO!$K$7:$K$15,$E27,TAO!$AN$7:$AN$15)+SUMIF(SAO!$K$7:$K$19,$E27,SAO!$AP$7:$AP$19))</f>
        <v/>
      </c>
      <c r="G27" s="683">
        <f>IF(OR($F27="",$F27&lt;=0),"",$F27+12*0.000001)</f>
        <v/>
      </c>
    </row>
    <row r="28">
      <c r="B28" s="579" t="inlineStr">
        <is>
          <t>TAO</t>
        </is>
      </c>
      <c r="C28" s="580">
        <f>IF(TAO!K9="","",TAO!K9)</f>
        <v/>
      </c>
      <c r="D28" s="682">
        <f>IF($C28="","",IFERROR(TAO!AN9,0))</f>
        <v/>
      </c>
      <c r="E28" s="580">
        <f>IF($C28="","",IF(COUNTIF($C$15:$C28,$C28)=1,$C28,""))</f>
        <v/>
      </c>
      <c r="F28" s="682">
        <f>IF($E28="","",SUMIF(PO!$K$7:$K$17,$E28,PO!$AR$7:$AR$17)+SUMIF(TAO!$K$7:$K$15,$E28,TAO!$AN$7:$AN$15)+SUMIF(SAO!$K$7:$K$19,$E28,SAO!$AP$7:$AP$19))</f>
        <v/>
      </c>
      <c r="G28" s="683">
        <f>IF(OR($F28="",$F28&lt;=0),"",$F28+13*0.000001)</f>
        <v/>
      </c>
    </row>
    <row r="29">
      <c r="B29" s="579" t="inlineStr">
        <is>
          <t>TAO</t>
        </is>
      </c>
      <c r="C29" s="580">
        <f>IF(TAO!K10="","",TAO!K10)</f>
        <v/>
      </c>
      <c r="D29" s="682">
        <f>IF($C29="","",IFERROR(TAO!AN10,0))</f>
        <v/>
      </c>
      <c r="E29" s="580">
        <f>IF($C29="","",IF(COUNTIF($C$15:$C29,$C29)=1,$C29,""))</f>
        <v/>
      </c>
      <c r="F29" s="682">
        <f>IF($E29="","",SUMIF(PO!$K$7:$K$17,$E29,PO!$AR$7:$AR$17)+SUMIF(TAO!$K$7:$K$15,$E29,TAO!$AN$7:$AN$15)+SUMIF(SAO!$K$7:$K$19,$E29,SAO!$AP$7:$AP$19))</f>
        <v/>
      </c>
      <c r="G29" s="683">
        <f>IF(OR($F29="",$F29&lt;=0),"",$F29+14*0.000001)</f>
        <v/>
      </c>
    </row>
    <row r="30">
      <c r="B30" s="579" t="inlineStr">
        <is>
          <t>TAO</t>
        </is>
      </c>
      <c r="C30" s="580">
        <f>IF(TAO!K11="","",TAO!K11)</f>
        <v/>
      </c>
      <c r="D30" s="682">
        <f>IF($C30="","",IFERROR(TAO!AN11,0))</f>
        <v/>
      </c>
      <c r="E30" s="580">
        <f>IF($C30="","",IF(COUNTIF($C$15:$C30,$C30)=1,$C30,""))</f>
        <v/>
      </c>
      <c r="F30" s="682">
        <f>IF($E30="","",SUMIF(PO!$K$7:$K$17,$E30,PO!$AR$7:$AR$17)+SUMIF(TAO!$K$7:$K$15,$E30,TAO!$AN$7:$AN$15)+SUMIF(SAO!$K$7:$K$19,$E30,SAO!$AP$7:$AP$19))</f>
        <v/>
      </c>
      <c r="G30" s="683">
        <f>IF(OR($F30="",$F30&lt;=0),"",$F30+15*0.000001)</f>
        <v/>
      </c>
    </row>
    <row r="31">
      <c r="B31" s="579" t="inlineStr">
        <is>
          <t>TAO</t>
        </is>
      </c>
      <c r="C31" s="580">
        <f>IF(TAO!K12="","",TAO!K12)</f>
        <v/>
      </c>
      <c r="D31" s="682">
        <f>IF($C31="","",IFERROR(TAO!AN12,0))</f>
        <v/>
      </c>
      <c r="E31" s="580">
        <f>IF($C31="","",IF(COUNTIF($C$15:$C31,$C31)=1,$C31,""))</f>
        <v/>
      </c>
      <c r="F31" s="682">
        <f>IF($E31="","",SUMIF(PO!$K$7:$K$17,$E31,PO!$AR$7:$AR$17)+SUMIF(TAO!$K$7:$K$15,$E31,TAO!$AN$7:$AN$15)+SUMIF(SAO!$K$7:$K$19,$E31,SAO!$AP$7:$AP$19))</f>
        <v/>
      </c>
      <c r="G31" s="683">
        <f>IF(OR($F31="",$F31&lt;=0),"",$F31+16*0.000001)</f>
        <v/>
      </c>
    </row>
    <row r="32">
      <c r="B32" s="579" t="inlineStr">
        <is>
          <t>TAO</t>
        </is>
      </c>
      <c r="C32" s="580">
        <f>IF(TAO!K13="","",TAO!K13)</f>
        <v/>
      </c>
      <c r="D32" s="682">
        <f>IF($C32="","",IFERROR(TAO!AN13,0))</f>
        <v/>
      </c>
      <c r="E32" s="580">
        <f>IF($C32="","",IF(COUNTIF($C$15:$C32,$C32)=1,$C32,""))</f>
        <v/>
      </c>
      <c r="F32" s="682">
        <f>IF($E32="","",SUMIF(PO!$K$7:$K$17,$E32,PO!$AR$7:$AR$17)+SUMIF(TAO!$K$7:$K$15,$E32,TAO!$AN$7:$AN$15)+SUMIF(SAO!$K$7:$K$19,$E32,SAO!$AP$7:$AP$19))</f>
        <v/>
      </c>
      <c r="G32" s="683">
        <f>IF(OR($F32="",$F32&lt;=0),"",$F32+17*0.000001)</f>
        <v/>
      </c>
    </row>
    <row r="33">
      <c r="B33" s="579" t="inlineStr">
        <is>
          <t>TAO</t>
        </is>
      </c>
      <c r="C33" s="580">
        <f>IF(TAO!K14="","",TAO!K14)</f>
        <v/>
      </c>
      <c r="D33" s="682">
        <f>IF($C33="","",IFERROR(TAO!AN14,0))</f>
        <v/>
      </c>
      <c r="E33" s="580">
        <f>IF($C33="","",IF(COUNTIF($C$15:$C33,$C33)=1,$C33,""))</f>
        <v/>
      </c>
      <c r="F33" s="682">
        <f>IF($E33="","",SUMIF(PO!$K$7:$K$17,$E33,PO!$AR$7:$AR$17)+SUMIF(TAO!$K$7:$K$15,$E33,TAO!$AN$7:$AN$15)+SUMIF(SAO!$K$7:$K$19,$E33,SAO!$AP$7:$AP$19))</f>
        <v/>
      </c>
      <c r="G33" s="683">
        <f>IF(OR($F33="",$F33&lt;=0),"",$F33+18*0.000001)</f>
        <v/>
      </c>
    </row>
    <row r="34">
      <c r="B34" s="579" t="inlineStr">
        <is>
          <t>TAO</t>
        </is>
      </c>
      <c r="C34" s="580">
        <f>IF(TAO!K15="","",TAO!K15)</f>
        <v/>
      </c>
      <c r="D34" s="682">
        <f>IF($C34="","",IFERROR(TAO!AN15,0))</f>
        <v/>
      </c>
      <c r="E34" s="580">
        <f>IF($C34="","",IF(COUNTIF($C$15:$C34,$C34)=1,$C34,""))</f>
        <v/>
      </c>
      <c r="F34" s="682">
        <f>IF($E34="","",SUMIF(PO!$K$7:$K$17,$E34,PO!$AR$7:$AR$17)+SUMIF(TAO!$K$7:$K$15,$E34,TAO!$AN$7:$AN$15)+SUMIF(SAO!$K$7:$K$19,$E34,SAO!$AP$7:$AP$19))</f>
        <v/>
      </c>
      <c r="G34" s="683">
        <f>IF(OR($F34="",$F34&lt;=0),"",$F34+19*0.000001)</f>
        <v/>
      </c>
    </row>
    <row r="35">
      <c r="B35" s="579" t="inlineStr">
        <is>
          <t>SAO</t>
        </is>
      </c>
      <c r="C35" s="580">
        <f>IF(SAO!K7="","",SAO!K7)</f>
        <v/>
      </c>
      <c r="D35" s="682">
        <f>IF($C35="","",IFERROR(SAO!AP7,0))</f>
        <v/>
      </c>
      <c r="E35" s="580">
        <f>IF($C35="","",IF(COUNTIF($C$15:$C35,$C35)=1,$C35,""))</f>
        <v/>
      </c>
      <c r="F35" s="682">
        <f>IF($E35="","",SUMIF(PO!$K$7:$K$17,$E35,PO!$AR$7:$AR$17)+SUMIF(TAO!$K$7:$K$15,$E35,TAO!$AN$7:$AN$15)+SUMIF(SAO!$K$7:$K$19,$E35,SAO!$AP$7:$AP$19))</f>
        <v/>
      </c>
      <c r="G35" s="683">
        <f>IF(OR($F35="",$F35&lt;=0),"",$F35+20*0.000001)</f>
        <v/>
      </c>
    </row>
    <row r="36">
      <c r="B36" s="579" t="inlineStr">
        <is>
          <t>SAO</t>
        </is>
      </c>
      <c r="C36" s="580">
        <f>IF(SAO!K8="","",SAO!K8)</f>
        <v/>
      </c>
      <c r="D36" s="682">
        <f>IF($C36="","",IFERROR(SAO!AP8,0))</f>
        <v/>
      </c>
      <c r="E36" s="580">
        <f>IF($C36="","",IF(COUNTIF($C$15:$C36,$C36)=1,$C36,""))</f>
        <v/>
      </c>
      <c r="F36" s="682">
        <f>IF($E36="","",SUMIF(PO!$K$7:$K$17,$E36,PO!$AR$7:$AR$17)+SUMIF(TAO!$K$7:$K$15,$E36,TAO!$AN$7:$AN$15)+SUMIF(SAO!$K$7:$K$19,$E36,SAO!$AP$7:$AP$19))</f>
        <v/>
      </c>
      <c r="G36" s="683">
        <f>IF(OR($F36="",$F36&lt;=0),"",$F36+21*0.000001)</f>
        <v/>
      </c>
    </row>
    <row r="37">
      <c r="B37" s="579" t="inlineStr">
        <is>
          <t>SAO</t>
        </is>
      </c>
      <c r="C37" s="580">
        <f>IF(SAO!K9="","",SAO!K9)</f>
        <v/>
      </c>
      <c r="D37" s="682">
        <f>IF($C37="","",IFERROR(SAO!AP9,0))</f>
        <v/>
      </c>
      <c r="E37" s="580">
        <f>IF($C37="","",IF(COUNTIF($C$15:$C37,$C37)=1,$C37,""))</f>
        <v/>
      </c>
      <c r="F37" s="682">
        <f>IF($E37="","",SUMIF(PO!$K$7:$K$17,$E37,PO!$AR$7:$AR$17)+SUMIF(TAO!$K$7:$K$15,$E37,TAO!$AN$7:$AN$15)+SUMIF(SAO!$K$7:$K$19,$E37,SAO!$AP$7:$AP$19))</f>
        <v/>
      </c>
      <c r="G37" s="683">
        <f>IF(OR($F37="",$F37&lt;=0),"",$F37+22*0.000001)</f>
        <v/>
      </c>
    </row>
    <row r="38">
      <c r="B38" s="579" t="inlineStr">
        <is>
          <t>SAO</t>
        </is>
      </c>
      <c r="C38" s="580">
        <f>IF(SAO!K10="","",SAO!K10)</f>
        <v/>
      </c>
      <c r="D38" s="682">
        <f>IF($C38="","",IFERROR(SAO!AP10,0))</f>
        <v/>
      </c>
      <c r="E38" s="580">
        <f>IF($C38="","",IF(COUNTIF($C$15:$C38,$C38)=1,$C38,""))</f>
        <v/>
      </c>
      <c r="F38" s="682">
        <f>IF($E38="","",SUMIF(PO!$K$7:$K$17,$E38,PO!$AR$7:$AR$17)+SUMIF(TAO!$K$7:$K$15,$E38,TAO!$AN$7:$AN$15)+SUMIF(SAO!$K$7:$K$19,$E38,SAO!$AP$7:$AP$19))</f>
        <v/>
      </c>
      <c r="G38" s="683">
        <f>IF(OR($F38="",$F38&lt;=0),"",$F38+23*0.000001)</f>
        <v/>
      </c>
    </row>
    <row r="39">
      <c r="B39" s="579" t="inlineStr">
        <is>
          <t>SAO</t>
        </is>
      </c>
      <c r="C39" s="580">
        <f>IF(SAO!K11="","",SAO!K11)</f>
        <v/>
      </c>
      <c r="D39" s="682">
        <f>IF($C39="","",IFERROR(SAO!AP11,0))</f>
        <v/>
      </c>
      <c r="E39" s="580">
        <f>IF($C39="","",IF(COUNTIF($C$15:$C39,$C39)=1,$C39,""))</f>
        <v/>
      </c>
      <c r="F39" s="682">
        <f>IF($E39="","",SUMIF(PO!$K$7:$K$17,$E39,PO!$AR$7:$AR$17)+SUMIF(TAO!$K$7:$K$15,$E39,TAO!$AN$7:$AN$15)+SUMIF(SAO!$K$7:$K$19,$E39,SAO!$AP$7:$AP$19))</f>
        <v/>
      </c>
      <c r="G39" s="683">
        <f>IF(OR($F39="",$F39&lt;=0),"",$F39+24*0.000001)</f>
        <v/>
      </c>
    </row>
    <row r="40">
      <c r="B40" s="579" t="inlineStr">
        <is>
          <t>SAO</t>
        </is>
      </c>
      <c r="C40" s="580">
        <f>IF(SAO!K12="","",SAO!K12)</f>
        <v/>
      </c>
      <c r="D40" s="682">
        <f>IF($C40="","",IFERROR(SAO!AP12,0))</f>
        <v/>
      </c>
      <c r="E40" s="580">
        <f>IF($C40="","",IF(COUNTIF($C$15:$C40,$C40)=1,$C40,""))</f>
        <v/>
      </c>
      <c r="F40" s="682">
        <f>IF($E40="","",SUMIF(PO!$K$7:$K$17,$E40,PO!$AR$7:$AR$17)+SUMIF(TAO!$K$7:$K$15,$E40,TAO!$AN$7:$AN$15)+SUMIF(SAO!$K$7:$K$19,$E40,SAO!$AP$7:$AP$19))</f>
        <v/>
      </c>
      <c r="G40" s="683">
        <f>IF(OR($F40="",$F40&lt;=0),"",$F40+25*0.000001)</f>
        <v/>
      </c>
    </row>
    <row r="41">
      <c r="B41" s="579" t="inlineStr">
        <is>
          <t>SAO</t>
        </is>
      </c>
      <c r="C41" s="580">
        <f>IF(SAO!K13="","",SAO!K13)</f>
        <v/>
      </c>
      <c r="D41" s="682">
        <f>IF($C41="","",IFERROR(SAO!AP13,0))</f>
        <v/>
      </c>
      <c r="E41" s="580">
        <f>IF($C41="","",IF(COUNTIF($C$15:$C41,$C41)=1,$C41,""))</f>
        <v/>
      </c>
      <c r="F41" s="682">
        <f>IF($E41="","",SUMIF(PO!$K$7:$K$17,$E41,PO!$AR$7:$AR$17)+SUMIF(TAO!$K$7:$K$15,$E41,TAO!$AN$7:$AN$15)+SUMIF(SAO!$K$7:$K$19,$E41,SAO!$AP$7:$AP$19))</f>
        <v/>
      </c>
      <c r="G41" s="683">
        <f>IF(OR($F41="",$F41&lt;=0),"",$F41+26*0.000001)</f>
        <v/>
      </c>
    </row>
    <row r="42">
      <c r="B42" s="579" t="inlineStr">
        <is>
          <t>SAO</t>
        </is>
      </c>
      <c r="C42" s="580">
        <f>IF(SAO!K14="","",SAO!K14)</f>
        <v/>
      </c>
      <c r="D42" s="682">
        <f>IF($C42="","",IFERROR(SAO!AP14,0))</f>
        <v/>
      </c>
      <c r="E42" s="580">
        <f>IF($C42="","",IF(COUNTIF($C$15:$C42,$C42)=1,$C42,""))</f>
        <v/>
      </c>
      <c r="F42" s="682">
        <f>IF($E42="","",SUMIF(PO!$K$7:$K$17,$E42,PO!$AR$7:$AR$17)+SUMIF(TAO!$K$7:$K$15,$E42,TAO!$AN$7:$AN$15)+SUMIF(SAO!$K$7:$K$19,$E42,SAO!$AP$7:$AP$19))</f>
        <v/>
      </c>
      <c r="G42" s="683">
        <f>IF(OR($F42="",$F42&lt;=0),"",$F42+27*0.000001)</f>
        <v/>
      </c>
    </row>
    <row r="43">
      <c r="B43" s="579" t="inlineStr">
        <is>
          <t>SAO</t>
        </is>
      </c>
      <c r="C43" s="580">
        <f>IF(SAO!K15="","",SAO!K15)</f>
        <v/>
      </c>
      <c r="D43" s="682">
        <f>IF($C43="","",IFERROR(SAO!AP15,0))</f>
        <v/>
      </c>
      <c r="E43" s="580">
        <f>IF($C43="","",IF(COUNTIF($C$15:$C43,$C43)=1,$C43,""))</f>
        <v/>
      </c>
      <c r="F43" s="682">
        <f>IF($E43="","",SUMIF(PO!$K$7:$K$17,$E43,PO!$AR$7:$AR$17)+SUMIF(TAO!$K$7:$K$15,$E43,TAO!$AN$7:$AN$15)+SUMIF(SAO!$K$7:$K$19,$E43,SAO!$AP$7:$AP$19))</f>
        <v/>
      </c>
      <c r="G43" s="683">
        <f>IF(OR($F43="",$F43&lt;=0),"",$F43+28*0.000001)</f>
        <v/>
      </c>
    </row>
    <row r="44">
      <c r="B44" s="579" t="inlineStr">
        <is>
          <t>SAO</t>
        </is>
      </c>
      <c r="C44" s="580">
        <f>IF(SAO!K16="","",SAO!K16)</f>
        <v/>
      </c>
      <c r="D44" s="682">
        <f>IF($C44="","",IFERROR(SAO!AP16,0))</f>
        <v/>
      </c>
      <c r="E44" s="580">
        <f>IF($C44="","",IF(COUNTIF($C$15:$C44,$C44)=1,$C44,""))</f>
        <v/>
      </c>
      <c r="F44" s="682">
        <f>IF($E44="","",SUMIF(PO!$K$7:$K$17,$E44,PO!$AR$7:$AR$17)+SUMIF(TAO!$K$7:$K$15,$E44,TAO!$AN$7:$AN$15)+SUMIF(SAO!$K$7:$K$19,$E44,SAO!$AP$7:$AP$19))</f>
        <v/>
      </c>
      <c r="G44" s="683">
        <f>IF(OR($F44="",$F44&lt;=0),"",$F44+29*0.000001)</f>
        <v/>
      </c>
    </row>
    <row r="45">
      <c r="B45" s="579" t="inlineStr">
        <is>
          <t>SAO</t>
        </is>
      </c>
      <c r="C45" s="580">
        <f>IF(SAO!K17="","",SAO!K17)</f>
        <v/>
      </c>
      <c r="D45" s="682">
        <f>IF($C45="","",IFERROR(SAO!AP17,0))</f>
        <v/>
      </c>
      <c r="E45" s="580">
        <f>IF($C45="","",IF(COUNTIF($C$15:$C45,$C45)=1,$C45,""))</f>
        <v/>
      </c>
      <c r="F45" s="682">
        <f>IF($E45="","",SUMIF(PO!$K$7:$K$17,$E45,PO!$AR$7:$AR$17)+SUMIF(TAO!$K$7:$K$15,$E45,TAO!$AN$7:$AN$15)+SUMIF(SAO!$K$7:$K$19,$E45,SAO!$AP$7:$AP$19))</f>
        <v/>
      </c>
      <c r="G45" s="683">
        <f>IF(OR($F45="",$F45&lt;=0),"",$F45+30*0.000001)</f>
        <v/>
      </c>
    </row>
    <row r="46">
      <c r="B46" s="579" t="inlineStr">
        <is>
          <t>SAO</t>
        </is>
      </c>
      <c r="C46" s="580">
        <f>IF(SAO!K18="","",SAO!K18)</f>
        <v/>
      </c>
      <c r="D46" s="682">
        <f>IF($C46="","",IFERROR(SAO!AP18,0))</f>
        <v/>
      </c>
      <c r="E46" s="580">
        <f>IF($C46="","",IF(COUNTIF($C$15:$C46,$C46)=1,$C46,""))</f>
        <v/>
      </c>
      <c r="F46" s="682">
        <f>IF($E46="","",SUMIF(PO!$K$7:$K$17,$E46,PO!$AR$7:$AR$17)+SUMIF(TAO!$K$7:$K$15,$E46,TAO!$AN$7:$AN$15)+SUMIF(SAO!$K$7:$K$19,$E46,SAO!$AP$7:$AP$19))</f>
        <v/>
      </c>
      <c r="G46" s="683">
        <f>IF(OR($F46="",$F46&lt;=0),"",$F46+31*0.000001)</f>
        <v/>
      </c>
    </row>
    <row r="47">
      <c r="B47" s="579" t="inlineStr">
        <is>
          <t>SAO</t>
        </is>
      </c>
      <c r="C47" s="580">
        <f>IF(SAO!K19="","",SAO!K19)</f>
        <v/>
      </c>
      <c r="D47" s="682">
        <f>IF($C47="","",IFERROR(SAO!AP19,0))</f>
        <v/>
      </c>
      <c r="E47" s="580">
        <f>IF($C47="","",IF(COUNTIF($C$15:$C47,$C47)=1,$C47,""))</f>
        <v/>
      </c>
      <c r="F47" s="682">
        <f>IF($E47="","",SUMIF(PO!$K$7:$K$17,$E47,PO!$AR$7:$AR$17)+SUMIF(TAO!$K$7:$K$15,$E47,TAO!$AN$7:$AN$15)+SUMIF(SAO!$K$7:$K$19,$E47,SAO!$AP$7:$AP$19))</f>
        <v/>
      </c>
      <c r="G47" s="683">
        <f>IF(OR($F47="",$F47&lt;=0),"",$F47+32*0.000001)</f>
        <v/>
      </c>
    </row>
    <row r="51">
      <c r="B51" s="571" t="inlineStr">
        <is>
          <t>3. Top 10 componenten naar kosten per jaar (voedt de grafiek)</t>
        </is>
      </c>
    </row>
    <row r="52" ht="26" customHeight="1" s="189">
      <c r="B52" s="572" t="inlineStr">
        <is>
          <t>Component</t>
        </is>
      </c>
      <c r="C52" s="572" t="inlineStr">
        <is>
          <t>Kosten per jaar</t>
        </is>
      </c>
    </row>
    <row r="53">
      <c r="B53" s="573">
        <f>IFERROR(IF(LARGE($G$15:$G$47,10)&lt;=0,"",INDEX($E$15:$E$47,MATCH(LARGE($G$15:$G$47,10),$G$15:$G$47,0))),"")</f>
        <v/>
      </c>
      <c r="C53" s="679">
        <f>IFERROR(IF(LARGE($G$15:$G$47,10)&lt;=0,"",INDEX($F$15:$F$47,MATCH(LARGE($G$15:$G$47,10),$G$15:$G$47,0))),"")</f>
        <v/>
      </c>
    </row>
    <row r="54">
      <c r="B54" s="573">
        <f>IFERROR(IF(LARGE($G$15:$G$47,9)&lt;=0,"",INDEX($E$15:$E$47,MATCH(LARGE($G$15:$G$47,9),$G$15:$G$47,0))),"")</f>
        <v/>
      </c>
      <c r="C54" s="679">
        <f>IFERROR(IF(LARGE($G$15:$G$47,9)&lt;=0,"",INDEX($F$15:$F$47,MATCH(LARGE($G$15:$G$47,9),$G$15:$G$47,0))),"")</f>
        <v/>
      </c>
    </row>
    <row r="55">
      <c r="B55" s="573">
        <f>IFERROR(IF(LARGE($G$15:$G$47,8)&lt;=0,"",INDEX($E$15:$E$47,MATCH(LARGE($G$15:$G$47,8),$G$15:$G$47,0))),"")</f>
        <v/>
      </c>
      <c r="C55" s="679">
        <f>IFERROR(IF(LARGE($G$15:$G$47,8)&lt;=0,"",INDEX($F$15:$F$47,MATCH(LARGE($G$15:$G$47,8),$G$15:$G$47,0))),"")</f>
        <v/>
      </c>
    </row>
    <row r="56">
      <c r="B56" s="573">
        <f>IFERROR(IF(LARGE($G$15:$G$47,7)&lt;=0,"",INDEX($E$15:$E$47,MATCH(LARGE($G$15:$G$47,7),$G$15:$G$47,0))),"")</f>
        <v/>
      </c>
      <c r="C56" s="679">
        <f>IFERROR(IF(LARGE($G$15:$G$47,7)&lt;=0,"",INDEX($F$15:$F$47,MATCH(LARGE($G$15:$G$47,7),$G$15:$G$47,0))),"")</f>
        <v/>
      </c>
    </row>
    <row r="57">
      <c r="B57" s="573">
        <f>IFERROR(IF(LARGE($G$15:$G$47,6)&lt;=0,"",INDEX($E$15:$E$47,MATCH(LARGE($G$15:$G$47,6),$G$15:$G$47,0))),"")</f>
        <v/>
      </c>
      <c r="C57" s="679">
        <f>IFERROR(IF(LARGE($G$15:$G$47,6)&lt;=0,"",INDEX($F$15:$F$47,MATCH(LARGE($G$15:$G$47,6),$G$15:$G$47,0))),"")</f>
        <v/>
      </c>
    </row>
    <row r="58">
      <c r="B58" s="573">
        <f>IFERROR(IF(LARGE($G$15:$G$47,5)&lt;=0,"",INDEX($E$15:$E$47,MATCH(LARGE($G$15:$G$47,5),$G$15:$G$47,0))),"")</f>
        <v/>
      </c>
      <c r="C58" s="679">
        <f>IFERROR(IF(LARGE($G$15:$G$47,5)&lt;=0,"",INDEX($F$15:$F$47,MATCH(LARGE($G$15:$G$47,5),$G$15:$G$47,0))),"")</f>
        <v/>
      </c>
    </row>
    <row r="59">
      <c r="B59" s="573">
        <f>IFERROR(IF(LARGE($G$15:$G$47,4)&lt;=0,"",INDEX($E$15:$E$47,MATCH(LARGE($G$15:$G$47,4),$G$15:$G$47,0))),"")</f>
        <v/>
      </c>
      <c r="C59" s="679">
        <f>IFERROR(IF(LARGE($G$15:$G$47,4)&lt;=0,"",INDEX($F$15:$F$47,MATCH(LARGE($G$15:$G$47,4),$G$15:$G$47,0))),"")</f>
        <v/>
      </c>
    </row>
    <row r="60">
      <c r="B60" s="573">
        <f>IFERROR(IF(LARGE($G$15:$G$47,3)&lt;=0,"",INDEX($E$15:$E$47,MATCH(LARGE($G$15:$G$47,3),$G$15:$G$47,0))),"")</f>
        <v/>
      </c>
      <c r="C60" s="679">
        <f>IFERROR(IF(LARGE($G$15:$G$47,3)&lt;=0,"",INDEX($F$15:$F$47,MATCH(LARGE($G$15:$G$47,3),$G$15:$G$47,0))),"")</f>
        <v/>
      </c>
    </row>
    <row r="61">
      <c r="B61" s="573">
        <f>IFERROR(IF(LARGE($G$15:$G$47,2)&lt;=0,"",INDEX($E$15:$E$47,MATCH(LARGE($G$15:$G$47,2),$G$15:$G$47,0))),"")</f>
        <v/>
      </c>
      <c r="C61" s="679">
        <f>IFERROR(IF(LARGE($G$15:$G$47,2)&lt;=0,"",INDEX($F$15:$F$47,MATCH(LARGE($G$15:$G$47,2),$G$15:$G$47,0))),"")</f>
        <v/>
      </c>
    </row>
    <row r="62">
      <c r="B62" s="573">
        <f>IFERROR(IF(LARGE($G$15:$G$47,1)&lt;=0,"",INDEX($E$15:$E$47,MATCH(LARGE($G$15:$G$47,1),$G$15:$G$47,0))),"")</f>
        <v/>
      </c>
      <c r="C62" s="679">
        <f>IFERROR(IF(LARGE($G$15:$G$47,1)&lt;=0,"",INDEX($F$15:$F$47,MATCH(LARGE($G$15:$G$47,1),$G$15:$G$47,0))),"")</f>
        <v/>
      </c>
    </row>
    <row r="64">
      <c r="B64" s="579" t="inlineStr">
        <is>
          <t>Controle: som componenten</t>
        </is>
      </c>
      <c r="C64" s="682">
        <f>SUMIF($E$15:$E$47,"?*",$F$15:$F$47)</f>
        <v/>
      </c>
    </row>
    <row r="65">
      <c r="B65" s="579" t="inlineStr">
        <is>
          <t>Controle: totaal onderhoudskosten</t>
        </is>
      </c>
      <c r="C65" s="682">
        <f>$C$10</f>
        <v/>
      </c>
    </row>
    <row r="66">
      <c r="B66" s="583" t="inlineStr">
        <is>
          <t>Verschil (moet 0 zijn)</t>
        </is>
      </c>
      <c r="C66" s="684">
        <f>C64-C65</f>
        <v/>
      </c>
    </row>
    <row r="67">
      <c r="B67" s="579" t="inlineStr">
        <is>
          <t>Controle: totaal volgens Algemeen (tot_OH)</t>
        </is>
      </c>
      <c r="C67" s="682">
        <f>tot_OH</f>
        <v/>
      </c>
    </row>
    <row r="68">
      <c r="B68" s="583" t="inlineStr">
        <is>
          <t>Verschil PO/TAO/SAO vs. Algemeen (moet 0 zijn)</t>
        </is>
      </c>
      <c r="C68" s="684">
        <f>C65-C67</f>
        <v/>
      </c>
    </row>
    <row r="71">
      <c r="B71" s="571" t="inlineStr">
        <is>
          <t>4. Kostenverloop over de looptijd</t>
        </is>
      </c>
    </row>
    <row r="72" ht="26" customHeight="1" s="189">
      <c r="B72" s="572" t="inlineStr">
        <is>
          <t>Jaar</t>
        </is>
      </c>
      <c r="C72" s="572" t="inlineStr">
        <is>
          <t>Kosten per jaar</t>
        </is>
      </c>
      <c r="D72" s="572" t="inlineStr">
        <is>
          <t>Cumulatieve kosten</t>
        </is>
      </c>
    </row>
    <row r="73">
      <c r="B73" s="573" t="n">
        <v>1</v>
      </c>
      <c r="C73" s="679">
        <f>IF(1&gt;Looptijd,"",$C$10+tot_resdel_kosten+tot_OH_gevolg)</f>
        <v/>
      </c>
      <c r="D73" s="679">
        <f>IF(1&gt;Looptijd,NA(),1*($C$10+tot_resdel_kosten+tot_OH_gevolg))</f>
        <v/>
      </c>
    </row>
    <row r="74">
      <c r="B74" s="573" t="n">
        <v>2</v>
      </c>
      <c r="C74" s="679">
        <f>IF(2&gt;Looptijd,"",$C$10+tot_resdel_kosten+tot_OH_gevolg)</f>
        <v/>
      </c>
      <c r="D74" s="679">
        <f>IF(2&gt;Looptijd,NA(),2*($C$10+tot_resdel_kosten+tot_OH_gevolg))</f>
        <v/>
      </c>
    </row>
    <row r="75">
      <c r="B75" s="573" t="n">
        <v>3</v>
      </c>
      <c r="C75" s="679">
        <f>IF(3&gt;Looptijd,"",$C$10+tot_resdel_kosten+tot_OH_gevolg)</f>
        <v/>
      </c>
      <c r="D75" s="679">
        <f>IF(3&gt;Looptijd,NA(),3*($C$10+tot_resdel_kosten+tot_OH_gevolg))</f>
        <v/>
      </c>
    </row>
    <row r="76">
      <c r="B76" s="573" t="n">
        <v>4</v>
      </c>
      <c r="C76" s="679">
        <f>IF(4&gt;Looptijd,"",$C$10+tot_resdel_kosten+tot_OH_gevolg)</f>
        <v/>
      </c>
      <c r="D76" s="679">
        <f>IF(4&gt;Looptijd,NA(),4*($C$10+tot_resdel_kosten+tot_OH_gevolg))</f>
        <v/>
      </c>
    </row>
    <row r="77">
      <c r="B77" s="573" t="n">
        <v>5</v>
      </c>
      <c r="C77" s="679">
        <f>IF(5&gt;Looptijd,"",$C$10+tot_resdel_kosten+tot_OH_gevolg)</f>
        <v/>
      </c>
      <c r="D77" s="679">
        <f>IF(5&gt;Looptijd,NA(),5*($C$10+tot_resdel_kosten+tot_OH_gevolg))</f>
        <v/>
      </c>
    </row>
    <row r="78">
      <c r="B78" s="573" t="n">
        <v>6</v>
      </c>
      <c r="C78" s="679">
        <f>IF(6&gt;Looptijd,"",$C$10+tot_resdel_kosten+tot_OH_gevolg)</f>
        <v/>
      </c>
      <c r="D78" s="679">
        <f>IF(6&gt;Looptijd,NA(),6*($C$10+tot_resdel_kosten+tot_OH_gevolg))</f>
        <v/>
      </c>
    </row>
    <row r="79">
      <c r="B79" s="573" t="n">
        <v>7</v>
      </c>
      <c r="C79" s="679">
        <f>IF(7&gt;Looptijd,"",$C$10+tot_resdel_kosten+tot_OH_gevolg)</f>
        <v/>
      </c>
      <c r="D79" s="679">
        <f>IF(7&gt;Looptijd,NA(),7*($C$10+tot_resdel_kosten+tot_OH_gevolg))</f>
        <v/>
      </c>
    </row>
    <row r="80">
      <c r="B80" s="573" t="n">
        <v>8</v>
      </c>
      <c r="C80" s="679">
        <f>IF(8&gt;Looptijd,"",$C$10+tot_resdel_kosten+tot_OH_gevolg)</f>
        <v/>
      </c>
      <c r="D80" s="679">
        <f>IF(8&gt;Looptijd,NA(),8*($C$10+tot_resdel_kosten+tot_OH_gevolg))</f>
        <v/>
      </c>
    </row>
    <row r="81">
      <c r="B81" s="573" t="n">
        <v>9</v>
      </c>
      <c r="C81" s="679">
        <f>IF(9&gt;Looptijd,"",$C$10+tot_resdel_kosten+tot_OH_gevolg)</f>
        <v/>
      </c>
      <c r="D81" s="679">
        <f>IF(9&gt;Looptijd,NA(),9*($C$10+tot_resdel_kosten+tot_OH_gevolg))</f>
        <v/>
      </c>
    </row>
    <row r="82">
      <c r="B82" s="573" t="n">
        <v>10</v>
      </c>
      <c r="C82" s="679">
        <f>IF(10&gt;Looptijd,"",$C$10+tot_resdel_kosten+tot_OH_gevolg)</f>
        <v/>
      </c>
      <c r="D82" s="679">
        <f>IF(10&gt;Looptijd,NA(),10*($C$10+tot_resdel_kosten+tot_OH_gevolg))</f>
        <v/>
      </c>
    </row>
    <row r="83">
      <c r="B83" s="573" t="n">
        <v>11</v>
      </c>
      <c r="C83" s="679">
        <f>IF(11&gt;Looptijd,"",$C$10+tot_resdel_kosten+tot_OH_gevolg)</f>
        <v/>
      </c>
      <c r="D83" s="679">
        <f>IF(11&gt;Looptijd,NA(),11*($C$10+tot_resdel_kosten+tot_OH_gevolg))</f>
        <v/>
      </c>
    </row>
    <row r="84">
      <c r="B84" s="573" t="n">
        <v>12</v>
      </c>
      <c r="C84" s="679">
        <f>IF(12&gt;Looptijd,"",$C$10+tot_resdel_kosten+tot_OH_gevolg)</f>
        <v/>
      </c>
      <c r="D84" s="679">
        <f>IF(12&gt;Looptijd,NA(),12*($C$10+tot_resdel_kosten+tot_OH_gevolg))</f>
        <v/>
      </c>
    </row>
    <row r="85">
      <c r="B85" s="573" t="n">
        <v>13</v>
      </c>
      <c r="C85" s="679">
        <f>IF(13&gt;Looptijd,"",$C$10+tot_resdel_kosten+tot_OH_gevolg)</f>
        <v/>
      </c>
      <c r="D85" s="679">
        <f>IF(13&gt;Looptijd,NA(),13*($C$10+tot_resdel_kosten+tot_OH_gevolg))</f>
        <v/>
      </c>
    </row>
    <row r="86">
      <c r="B86" s="573" t="n">
        <v>14</v>
      </c>
      <c r="C86" s="679">
        <f>IF(14&gt;Looptijd,"",$C$10+tot_resdel_kosten+tot_OH_gevolg)</f>
        <v/>
      </c>
      <c r="D86" s="679">
        <f>IF(14&gt;Looptijd,NA(),14*($C$10+tot_resdel_kosten+tot_OH_gevolg))</f>
        <v/>
      </c>
    </row>
    <row r="87">
      <c r="B87" s="573" t="n">
        <v>15</v>
      </c>
      <c r="C87" s="679">
        <f>IF(15&gt;Looptijd,"",$C$10+tot_resdel_kosten+tot_OH_gevolg)</f>
        <v/>
      </c>
      <c r="D87" s="679">
        <f>IF(15&gt;Looptijd,NA(),15*($C$10+tot_resdel_kosten+tot_OH_gevolg))</f>
        <v/>
      </c>
    </row>
    <row r="88">
      <c r="B88" s="573" t="n">
        <v>16</v>
      </c>
      <c r="C88" s="679">
        <f>IF(16&gt;Looptijd,"",$C$10+tot_resdel_kosten+tot_OH_gevolg)</f>
        <v/>
      </c>
      <c r="D88" s="679">
        <f>IF(16&gt;Looptijd,NA(),16*($C$10+tot_resdel_kosten+tot_OH_gevolg))</f>
        <v/>
      </c>
    </row>
    <row r="89">
      <c r="B89" s="573" t="n">
        <v>17</v>
      </c>
      <c r="C89" s="679">
        <f>IF(17&gt;Looptijd,"",$C$10+tot_resdel_kosten+tot_OH_gevolg)</f>
        <v/>
      </c>
      <c r="D89" s="679">
        <f>IF(17&gt;Looptijd,NA(),17*($C$10+tot_resdel_kosten+tot_OH_gevolg))</f>
        <v/>
      </c>
    </row>
    <row r="90">
      <c r="B90" s="573" t="n">
        <v>18</v>
      </c>
      <c r="C90" s="679">
        <f>IF(18&gt;Looptijd,"",$C$10+tot_resdel_kosten+tot_OH_gevolg)</f>
        <v/>
      </c>
      <c r="D90" s="679">
        <f>IF(18&gt;Looptijd,NA(),18*($C$10+tot_resdel_kosten+tot_OH_gevolg))</f>
        <v/>
      </c>
    </row>
    <row r="91">
      <c r="B91" s="573" t="n">
        <v>19</v>
      </c>
      <c r="C91" s="679">
        <f>IF(19&gt;Looptijd,"",$C$10+tot_resdel_kosten+tot_OH_gevolg)</f>
        <v/>
      </c>
      <c r="D91" s="679">
        <f>IF(19&gt;Looptijd,NA(),19*($C$10+tot_resdel_kosten+tot_OH_gevolg))</f>
        <v/>
      </c>
    </row>
    <row r="92">
      <c r="B92" s="573" t="n">
        <v>20</v>
      </c>
      <c r="C92" s="679">
        <f>IF(20&gt;Looptijd,"",$C$10+tot_resdel_kosten+tot_OH_gevolg)</f>
        <v/>
      </c>
      <c r="D92" s="679">
        <f>IF(20&gt;Looptijd,NA(),20*($C$10+tot_resdel_kosten+tot_OH_gevolg))</f>
        <v/>
      </c>
    </row>
    <row r="93">
      <c r="B93" s="585" t="inlineStr">
        <is>
          <t>Jaren na de looptijd staan bewust op #N/A (wit weergegeven): de lijn in de grafiek stopt daar.</t>
        </is>
      </c>
    </row>
    <row r="96">
      <c r="B96" s="571" t="inlineStr">
        <is>
          <t>5. Betrouwbaarheid per functie</t>
        </is>
      </c>
    </row>
    <row r="97" ht="26" customHeight="1" s="189">
      <c r="B97" s="572" t="inlineStr">
        <is>
          <t>Functie</t>
        </is>
      </c>
      <c r="C97" s="572" t="inlineStr">
        <is>
          <t>Storingen per jaar</t>
        </is>
      </c>
      <c r="D97" s="572" t="inlineStr">
        <is>
          <t>Storingsvrije tocht</t>
        </is>
      </c>
      <c r="E97" s="572" t="inlineStr">
        <is>
          <t>Niet-beschikbaar tijdens tocht</t>
        </is>
      </c>
    </row>
    <row r="98">
      <c r="B98" s="573">
        <f>IF(OR(Algemeen!FF5=0,Algemeen!FF5="",LEFT(Algemeen!FF5&amp;"",8)="functie "),"",Algemeen!FF5)</f>
        <v/>
      </c>
      <c r="C98" s="586">
        <f>IF($B98="","",Algemeen!FF9*8760)</f>
        <v/>
      </c>
      <c r="D98" s="680">
        <f>IF($B98="","",EXP(-Algemeen!FG9*Missieduur))</f>
        <v/>
      </c>
      <c r="E98" s="680">
        <f>IF($B98="","",Algemeen!FI9)</f>
        <v/>
      </c>
    </row>
    <row r="99">
      <c r="B99" s="573">
        <f>IF(OR(Algemeen!FM5=0,Algemeen!FM5="",LEFT(Algemeen!FM5&amp;"",8)="functie "),"",Algemeen!FM5)</f>
        <v/>
      </c>
      <c r="C99" s="586">
        <f>IF($B99="","",Algemeen!FM9*8760)</f>
        <v/>
      </c>
      <c r="D99" s="680">
        <f>IF($B99="","",EXP(-Algemeen!FN9*Missieduur))</f>
        <v/>
      </c>
      <c r="E99" s="680">
        <f>IF($B99="","",Algemeen!FP9)</f>
        <v/>
      </c>
    </row>
    <row r="100">
      <c r="B100" s="573">
        <f>IF(OR(Algemeen!FT5=0,Algemeen!FT5="",LEFT(Algemeen!FT5&amp;"",8)="functie "),"",Algemeen!FT5)</f>
        <v/>
      </c>
      <c r="C100" s="586">
        <f>IF($B100="","",Algemeen!FT9*8760)</f>
        <v/>
      </c>
      <c r="D100" s="680">
        <f>IF($B100="","",EXP(-Algemeen!FU9*Missieduur))</f>
        <v/>
      </c>
      <c r="E100" s="680">
        <f>IF($B100="","",Algemeen!FW9)</f>
        <v/>
      </c>
    </row>
    <row r="101">
      <c r="B101" s="573">
        <f>IF(OR(Algemeen!GA5=0,Algemeen!GA5="",LEFT(Algemeen!GA5&amp;"",8)="functie "),"",Algemeen!GA5)</f>
        <v/>
      </c>
      <c r="C101" s="586">
        <f>IF($B101="","",Algemeen!GA9*8760)</f>
        <v/>
      </c>
      <c r="D101" s="680">
        <f>IF($B101="","",EXP(-Algemeen!GB9*Missieduur))</f>
        <v/>
      </c>
      <c r="E101" s="680">
        <f>IF($B101="","",Algemeen!GD9)</f>
        <v/>
      </c>
    </row>
    <row r="102">
      <c r="B102" s="573">
        <f>IF(OR(Algemeen!GH5=0,Algemeen!GH5="",LEFT(Algemeen!GH5&amp;"",8)="functie "),"",Algemeen!GH5)</f>
        <v/>
      </c>
      <c r="C102" s="586">
        <f>IF($B102="","",Algemeen!GH9*8760)</f>
        <v/>
      </c>
      <c r="D102" s="680">
        <f>IF($B102="","",EXP(-Algemeen!GI9*Missieduur))</f>
        <v/>
      </c>
      <c r="E102" s="680">
        <f>IF($B102="","",Algemeen!GK9)</f>
        <v/>
      </c>
    </row>
    <row r="103">
      <c r="B103" s="573">
        <f>IF(OR(Algemeen!GO5=0,Algemeen!GO5="",LEFT(Algemeen!GO5&amp;"",8)="functie "),"",Algemeen!GO5)</f>
        <v/>
      </c>
      <c r="C103" s="586">
        <f>IF($B103="","",Algemeen!GO9*8760)</f>
        <v/>
      </c>
      <c r="D103" s="680">
        <f>IF($B103="","",EXP(-Algemeen!GP9*Missieduur))</f>
        <v/>
      </c>
      <c r="E103" s="680">
        <f>IF($B103="","",Algemeen!GR9)</f>
        <v/>
      </c>
    </row>
    <row r="104">
      <c r="B104" s="573">
        <f>IF(OR(Algemeen!GV5=0,Algemeen!GV5="",LEFT(Algemeen!GV5&amp;"",8)="functie "),"",Algemeen!GV5)</f>
        <v/>
      </c>
      <c r="C104" s="586">
        <f>IF($B104="","",Algemeen!GV9*8760)</f>
        <v/>
      </c>
      <c r="D104" s="680">
        <f>IF($B104="","",EXP(-Algemeen!GW9*Missieduur))</f>
        <v/>
      </c>
      <c r="E104" s="680">
        <f>IF($B104="","",Algemeen!GY9)</f>
        <v/>
      </c>
    </row>
    <row r="105">
      <c r="B105" s="573">
        <f>IF(OR(Algemeen!HC5=0,Algemeen!HC5="",LEFT(Algemeen!HC5&amp;"",8)="functie "),"",Algemeen!HC5)</f>
        <v/>
      </c>
      <c r="C105" s="586">
        <f>IF($B105="","",Algemeen!HC9*8760)</f>
        <v/>
      </c>
      <c r="D105" s="680">
        <f>IF($B105="","",EXP(-Algemeen!HD9*Missieduur))</f>
        <v/>
      </c>
      <c r="E105" s="680">
        <f>IF($B105="","",Algemeen!HF9)</f>
        <v/>
      </c>
    </row>
    <row r="106">
      <c r="B106" s="573">
        <f>IF(OR(Algemeen!HJ5=0,Algemeen!HJ5="",LEFT(Algemeen!HJ5&amp;"",8)="functie "),"",Algemeen!HJ5)</f>
        <v/>
      </c>
      <c r="C106" s="586">
        <f>IF($B106="","",Algemeen!HJ9*8760)</f>
        <v/>
      </c>
      <c r="D106" s="680">
        <f>IF($B106="","",EXP(-Algemeen!HK9*Missieduur))</f>
        <v/>
      </c>
      <c r="E106" s="680">
        <f>IF($B106="","",Algemeen!HM9)</f>
        <v/>
      </c>
    </row>
    <row r="107">
      <c r="B107" s="573">
        <f>IF(OR(Algemeen!HQ5=0,Algemeen!HQ5="",LEFT(Algemeen!HQ5&amp;"",8)="functie "),"",Algemeen!HQ5)</f>
        <v/>
      </c>
      <c r="C107" s="586">
        <f>IF($B107="","",Algemeen!HQ9*8760)</f>
        <v/>
      </c>
      <c r="D107" s="680">
        <f>IF($B107="","",EXP(-Algemeen!HR9*Missieduur))</f>
        <v/>
      </c>
      <c r="E107" s="680">
        <f>IF($B107="","",Algemeen!HT9)</f>
        <v/>
      </c>
    </row>
  </sheetData>
  <conditionalFormatting sqref="C66">
    <cfRule type="expression" priority="1" dxfId="0">
      <formula>ROUND(C66,2)&lt;&gt;0</formula>
    </cfRule>
    <cfRule type="expression" priority="2" dxfId="1">
      <formula>ROUND(C66,2)=0</formula>
    </cfRule>
  </conditionalFormatting>
  <conditionalFormatting sqref="C68">
    <cfRule type="expression" priority="3" dxfId="0">
      <formula>ROUND(C68,2)&lt;&gt;0</formula>
    </cfRule>
    <cfRule type="expression" priority="4" dxfId="1">
      <formula>ROUND(C68,2)=0</formula>
    </cfRule>
  </conditionalFormatting>
  <conditionalFormatting sqref="C73:D92">
    <cfRule type="expression" priority="5" dxfId="2">
      <formula>ISNA($D73)</formula>
    </cfRule>
  </conditionalFormatting>
  <pageMargins left="0.75" right="0.75" top="1" bottom="1" header="0.5" footer="0.5"/>
  <pageSetup orientation="portrait" fitToWidth="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9F5ACC9452D8A4489164F4983181265" ma:contentTypeVersion="0" ma:contentTypeDescription="Een nieuw document maken." ma:contentTypeScope="" ma:versionID="5ba751da66221fc392cb869a5f482bc1">
  <xsd:schema xmlns:xsd="http://www.w3.org/2001/XMLSchema" xmlns:p="http://schemas.microsoft.com/office/2006/metadata/properties" targetNamespace="http://schemas.microsoft.com/office/2006/metadata/properties" ma:root="true" ma:fieldsID="b118b0825d757084c8d1e1ffd33f200c">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ma:readOnly="tru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p:properties>
</file>

<file path=customXml/itemProps1.xml><?xml version="1.0" encoding="utf-8"?>
<ds:datastoreItem xmlns:ds="http://schemas.openxmlformats.org/officeDocument/2006/customXml" ds:itemID="{3A3E216B-413D-494D-A589-121291B187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095BA439-3FF8-4BE6-96B4-3E7E89158A8D}">
  <ds:schemaRefs>
    <ds:schemaRef ds:uri="http://schemas.microsoft.com/sharepoint/v3/contenttype/forms"/>
  </ds:schemaRefs>
</ds:datastoreItem>
</file>

<file path=customXml/itemProps3.xml><?xml version="1.0" encoding="utf-8"?>
<ds:datastoreItem xmlns:ds="http://schemas.openxmlformats.org/officeDocument/2006/customXml" ds:itemID="{98BECA5E-0545-4ABD-BA40-910999A383E5}">
  <ds:schemaRefs>
    <ds:schemaRef ds:uri="http://schemas.microsoft.com/office/2006/metadata/properties"/>
  </ds:schemaRefs>
</ds:datastoreItem>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 Schuller</dc:creator>
  <dcterms:created xmlns:dcterms="http://purl.org/dc/terms/" xmlns:xsi="http://www.w3.org/2001/XMLSchema-instance" xsi:type="dcterms:W3CDTF">1997-07-30T13:15:48Z</dcterms:created>
  <dcterms:modified xmlns:dcterms="http://purl.org/dc/terms/" xmlns:xsi="http://www.w3.org/2001/XMLSchema-instance" xsi:type="dcterms:W3CDTF">2026-09-22T16:34:59Z</dcterms:modified>
  <cp:lastModifiedBy>Yusuf</cp:lastModifiedBy>
  <cp:lastPrinted>1999-09-10T14:36:06Z</cp:lastPrinted>
</cp:coreProperties>
</file>