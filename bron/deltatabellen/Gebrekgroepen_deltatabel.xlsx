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elichting" sheetId="1" state="visible" r:id="rId3"/>
    <sheet name="Gebrekgroepen" sheetId="2" state="visible" r:id="rId4"/>
    <sheet name="Gebreken" sheetId="3" state="visible" r:id="rId5"/>
    <sheet name="Wijzigingen" sheetId="4" state="visible" r:id="rId6"/>
    <sheet name="Delta tabel" sheetId="5" state="visible" r:id="rId7"/>
  </sheets>
  <definedNames>
    <definedName function="false" hidden="false" localSheetId="4" name="_xlnm.Print_Titles" vbProcedure="false">'Delta tabel'!$2:$3</definedName>
    <definedName function="false" hidden="false" localSheetId="2" name="_xlnm.Print_Titles" vbProcedure="false">Gebreken!$1:$1</definedName>
    <definedName function="false" hidden="false" localSheetId="1" name="_xlnm.Print_Titles" vbProcedure="false">Gebrekgroepen!$1:$1</definedName>
    <definedName function="false" hidden="false" localSheetId="3" name="_xlnm.Print_Titles" vbProcedure="false">Wijzigingen!$1:$1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<sst xmlns="http://schemas.openxmlformats.org/spreadsheetml/2006/main" count="1243" uniqueCount="265">
  <si>
    <t xml:space="preserve">Delta tabel gebrekgroepen (gebrekgroep)</t>
  </si>
  <si>
    <t xml:space="preserve">Overzicht van gebrekgroepen met hun gekoppelde gebreken en de wijzigingen (oud → nieuw), overgenomen uit de PDF.</t>
  </si>
  <si>
    <t xml:space="preserve">Bron</t>
  </si>
  <si>
    <t xml:space="preserve">delta-tabel-gebrekgroep-.pdf (6 pagina’s)</t>
  </si>
  <si>
    <t xml:space="preserve">Legenda</t>
  </si>
  <si>
    <t xml:space="preserve">Groen vetgedrukt</t>
  </si>
  <si>
    <t xml:space="preserve">Nieuwe waarde / nieuw gekoppeld  →  mutatie “Toegevoegd”</t>
  </si>
  <si>
    <t xml:space="preserve">Rood doorgehaald</t>
  </si>
  <si>
    <t xml:space="preserve">Oude waarde / niet langer gekoppeld  →  mutatie “Vervallen”</t>
  </si>
  <si>
    <t xml:space="preserve">Oranje cursief</t>
  </si>
  <si>
    <t xml:space="preserve">Gewijzigd (gebrek hernoemd)  →  mutatie “Gewijzigd”</t>
  </si>
  <si>
    <t xml:space="preserve">Zonder opmaak</t>
  </si>
  <si>
    <t xml:space="preserve">Ongewijzigd  →  mutatie “Ongewijzigd”</t>
  </si>
  <si>
    <t xml:space="preserve">Gele markering</t>
  </si>
  <si>
    <t xml:space="preserve">Cel gemarkeerd in de bron (tabblad “Delta tabel”)</t>
  </si>
  <si>
    <t xml:space="preserve">Samenvatting</t>
  </si>
  <si>
    <t xml:space="preserve">Aantal gebrekgroepen</t>
  </si>
  <si>
    <t xml:space="preserve">   waarvan nieuw</t>
  </si>
  <si>
    <t xml:space="preserve">   waarvan vervallen</t>
  </si>
  <si>
    <t xml:space="preserve">   waarvan hernoemd</t>
  </si>
  <si>
    <t xml:space="preserve">Gebrekgroepen met wijzigingen (totaal)</t>
  </si>
  <si>
    <t xml:space="preserve">Koppelingen gebrek (totaal regels)</t>
  </si>
  <si>
    <t xml:space="preserve">Koppelingen gebrek – ongewijzigd</t>
  </si>
  <si>
    <t xml:space="preserve">Koppelingen gebrek – toegevoegd</t>
  </si>
  <si>
    <t xml:space="preserve">Koppelingen gebrek – vervallen</t>
  </si>
  <si>
    <t xml:space="preserve">Koppelingen gebrek – gewijzigd (gebrek hernoemd)</t>
  </si>
  <si>
    <t xml:space="preserve">Totaal regels in tabblad Wijzigingen</t>
  </si>
  <si>
    <t xml:space="preserve">Tabbladen</t>
  </si>
  <si>
    <t xml:space="preserve">Gebrekgroepen</t>
  </si>
  <si>
    <t xml:space="preserve">Eén regel per gebrekgroep met status, de gekoppelde gebreken en tellingen (formules).</t>
  </si>
  <si>
    <t xml:space="preserve">Gebreken</t>
  </si>
  <si>
    <t xml:space="preserve">Eén regel per gebrekgroep × gebrek met mutatie (Excel-tabel, filterbaar).</t>
  </si>
  <si>
    <t xml:space="preserve">Wijzigingen</t>
  </si>
  <si>
    <t xml:space="preserve">Alleen de gewijzigde regels.</t>
  </si>
  <si>
    <t xml:space="preserve">Delta tabel</t>
  </si>
  <si>
    <t xml:space="preserve">Getrouwe weergave van de oorspronkelijke delta tabel (kolommen Oud / Nieuw, met opmaak).</t>
  </si>
  <si>
    <t xml:space="preserve">Opmerkingen bij de conversie</t>
  </si>
  <si>
    <t xml:space="preserve">•  Deze tabel bevat alleen de naam van de gebrekgroep en de gekoppelde gebreken; er zijn geen andere kenmerken in de bron.</t>
  </si>
  <si>
    <t xml:space="preserve">•  De gebrekgroepen zelf zijn allemaal ongewijzigd: er komen er geen bij en er vervallen er geen. Alleen de koppelingen met gebreken veranderen.</t>
  </si>
  <si>
    <t xml:space="preserve">•  Oranje regels zijn gebreken die zijn hernoemd; de koppeling met de gebrekgroep blijft dan bestaan.</t>
  </si>
  <si>
    <t xml:space="preserve">•  De gebrekgroep “Conservering” heeft in de bron geen gekoppelde gebreken.</t>
  </si>
  <si>
    <t xml:space="preserve">•  Tekens met verkeerde codering in de bron (bijv. “Ã«”) zijn hersteld (“ë”); letterlijke codes “\r\n” in teksten zijn verwijderd.</t>
  </si>
  <si>
    <t xml:space="preserve">•  Tekst is verder 1-op-1 overgenomen; eventuele type- of spelfouten uit de bron zijn niet gecorrigeerd.</t>
  </si>
  <si>
    <t xml:space="preserve">Gebrekgroep</t>
  </si>
  <si>
    <t xml:space="preserve">Groepstatus</t>
  </si>
  <si>
    <t xml:space="preserve">Naam (vorige versie)</t>
  </si>
  <si>
    <t xml:space="preserve">Gebreken (actueel)</t>
  </si>
  <si>
    <t xml:space="preserve">Gebreken (oud)</t>
  </si>
  <si>
    <t xml:space="preserve">Gebreken (nieuw)</t>
  </si>
  <si>
    <t xml:space="preserve">Toegevoegd</t>
  </si>
  <si>
    <t xml:space="preserve">Vervallen</t>
  </si>
  <si>
    <t xml:space="preserve">Status</t>
  </si>
  <si>
    <t xml:space="preserve">Beschadiging</t>
  </si>
  <si>
    <t xml:space="preserve">Bestaand</t>
  </si>
  <si>
    <t xml:space="preserve">Afbrokkelen, Afdichting, defect, Afschuiving, Oeverafslag, Grasmat, beschadigd, Breuk, Deformatie, kritiek, Groeven, Houtrot, Krassen, Ontgronding, Rafeling, Scheur, niet constructief, Scheur, constructief, Beschermlaag, defect, Uitspoeling, Verankering, defect, Vergraving, Verpoederen, Verzakking, Scheefstand, Rafeling (ZOAB), Verwering, Verzanding, Voegvulling, defect, Randschade, Dakgrind, ingezakt, Kieren, Losliggend, Aansluiting, onjuist, Breuk/instorting, riool, Oppervlakteschade, Verbinding, verplaatst, Lining, defect, Materiaal, poreus, Wortelingroei, Bezinksel, Grondindringing, Obstakels, Infiltratie, Scheurvorming, Deformatie, niet kritiek, Onthechting, Delaminatie, Vervorming, Desintegratie, Slijtage, mechanisch, Aansluiting, defect, Verpulveren, Verruiging, Windworp, Omgevallen, Aansluiting, onvoldoende, Erosie, Gaten</t>
  </si>
  <si>
    <t xml:space="preserve">Bevestiging</t>
  </si>
  <si>
    <t xml:space="preserve">Bevestiging, onjuist, Bevestiging, ontbreekt, Bevestiging, defect</t>
  </si>
  <si>
    <t xml:space="preserve">Codering</t>
  </si>
  <si>
    <t xml:space="preserve">Codering, onjuist</t>
  </si>
  <si>
    <t xml:space="preserve">Conservering</t>
  </si>
  <si>
    <t xml:space="preserve">Corrosie</t>
  </si>
  <si>
    <t xml:space="preserve">Corrosie, uniform, Putcorrosie, Spleetcorrosie, Wapeningscorrosie</t>
  </si>
  <si>
    <t xml:space="preserve">Documentatie</t>
  </si>
  <si>
    <t xml:space="preserve">Documentatie, onjuist</t>
  </si>
  <si>
    <t xml:space="preserve">Functionaliteit</t>
  </si>
  <si>
    <t xml:space="preserve">Beschermingsgraad, onvoldoende, Functie, verminderd, Functie, afwezig, Servicetermijn, ten einde, Instelling, foutief, Kortsluitvastheid, onvoldoende, Markering, onjuist, Onderdeel, ontbreekt, Diepte, onvoldoende, Smering, onvoldoende, Trilling, overmatig, Warmte-ontwikkeling, overmatig, Verspreidingsweerstand, onjuist, Verkeerstekens, onvoldoende, Capaciteit, verminderd, Inlaat, instekend, Vloeistofpeil, onjuist, Begroeiing, ongewenst, Verdwenen</t>
  </si>
  <si>
    <t xml:space="preserve">Groei, ontwikkeling</t>
  </si>
  <si>
    <t xml:space="preserve">Biotoop, afwijkend, Bladverkleuring, Scheutlengte-ontwikkeling, Wondreactie, Bloeiontwikkeling, Stamontwikkeling</t>
  </si>
  <si>
    <t xml:space="preserve">Groen</t>
  </si>
  <si>
    <t xml:space="preserve">Afsterving, Houtweefselschade, Toplaag, dichtgeslibd, Dichtgroei, boomopslag, Vergrassing, Verhouting, Verlanding, Vermossing, Verstuiving, Bedekkingsgraad, Schade, mechanisch, Draagkracht bodem, onvoldoende, Slijtage, sportvelden, Bladontwikkeling, Groeiontwikkeling, Afdekking, ongewenst, Soortenrijkdom, onvoldoende</t>
  </si>
  <si>
    <t xml:space="preserve">Leeftijd, veroudering</t>
  </si>
  <si>
    <t xml:space="preserve">Theoretische levensduur, 100%, Theoretische levensduur, tussen 50% en 75%, Theoretische levensduur, ouder dan 75%</t>
  </si>
  <si>
    <t xml:space="preserve">Orde, netheid</t>
  </si>
  <si>
    <t xml:space="preserve">Graffity, Onkruidgroei, Organische stof, overlast, Verstopping, Vervuiling, Afzetting, aangehecht, Aangroei, Afzetting, bezonken</t>
  </si>
  <si>
    <t xml:space="preserve">Veiligheid &amp; Wet en regelgeving</t>
  </si>
  <si>
    <t xml:space="preserve">Stroefheid, Wet &amp; regelgeving, voldoet niet</t>
  </si>
  <si>
    <t xml:space="preserve">Vlakheid</t>
  </si>
  <si>
    <t xml:space="preserve">Afschot, foutief, Boomwortelopgroei, Dwarsonvlakheid, Langsonvlakheid, Oneffenheden, Opbolling, Plasvorming, Spoorvorming, Voegwijdte, onjuist, Zetting, Spoordiepte, Comfort, fietspad</t>
  </si>
  <si>
    <t xml:space="preserve">Vocht, water</t>
  </si>
  <si>
    <t xml:space="preserve">Kwelplek, Verweking, Wellen (zandmeevoerend)</t>
  </si>
  <si>
    <t xml:space="preserve">Ziekte, aandoening</t>
  </si>
  <si>
    <t xml:space="preserve">Leemgehalte, onjuist, Verzuring, Blauwalgontwikkeling, Aantasting</t>
  </si>
  <si>
    <t xml:space="preserve">Gebrek (oud)</t>
  </si>
  <si>
    <t xml:space="preserve">Gebrek (nieuw)</t>
  </si>
  <si>
    <t xml:space="preserve">Mutatie</t>
  </si>
  <si>
    <t xml:space="preserve">Afbrokkelen</t>
  </si>
  <si>
    <t xml:space="preserve">Ongewijzigd</t>
  </si>
  <si>
    <t xml:space="preserve">Afdichting, defect</t>
  </si>
  <si>
    <t xml:space="preserve">Afschuiving</t>
  </si>
  <si>
    <t xml:space="preserve">Oeverafslag</t>
  </si>
  <si>
    <t xml:space="preserve">Grasmat, beschadigd</t>
  </si>
  <si>
    <t xml:space="preserve">Breuk</t>
  </si>
  <si>
    <t xml:space="preserve">Deformatie, kritiek</t>
  </si>
  <si>
    <t xml:space="preserve">Groeven</t>
  </si>
  <si>
    <t xml:space="preserve">Houtrot</t>
  </si>
  <si>
    <t xml:space="preserve">Krassen</t>
  </si>
  <si>
    <t xml:space="preserve">Ontgronding</t>
  </si>
  <si>
    <t xml:space="preserve">Rafeling</t>
  </si>
  <si>
    <t xml:space="preserve">Scheur, niet constructief</t>
  </si>
  <si>
    <t xml:space="preserve">Scheur, constructief</t>
  </si>
  <si>
    <t xml:space="preserve">Beschermlaag, defect</t>
  </si>
  <si>
    <t xml:space="preserve">Uitspoeling</t>
  </si>
  <si>
    <t xml:space="preserve">Verankering, defect</t>
  </si>
  <si>
    <t xml:space="preserve">Vergraving</t>
  </si>
  <si>
    <t xml:space="preserve">Verpoederen</t>
  </si>
  <si>
    <t xml:space="preserve">Verzakking</t>
  </si>
  <si>
    <t xml:space="preserve">Scheefstand</t>
  </si>
  <si>
    <t xml:space="preserve">Rafeling (ZOAB)</t>
  </si>
  <si>
    <t xml:space="preserve">Verwering</t>
  </si>
  <si>
    <t xml:space="preserve">Verzanding</t>
  </si>
  <si>
    <t xml:space="preserve">Voegvulling, defect</t>
  </si>
  <si>
    <t xml:space="preserve">Randschade</t>
  </si>
  <si>
    <t xml:space="preserve">Dakgrind, ingezakt</t>
  </si>
  <si>
    <t xml:space="preserve">Kieren</t>
  </si>
  <si>
    <t xml:space="preserve">Losliggend</t>
  </si>
  <si>
    <t xml:space="preserve">Aansluiting, onjuist</t>
  </si>
  <si>
    <t xml:space="preserve">Breuk/instorting, riool</t>
  </si>
  <si>
    <t xml:space="preserve">Oppervlakteschade</t>
  </si>
  <si>
    <t xml:space="preserve">Verbinding, verplaatst</t>
  </si>
  <si>
    <t xml:space="preserve">Lining, defect</t>
  </si>
  <si>
    <t xml:space="preserve">Materiaal, poreus</t>
  </si>
  <si>
    <t xml:space="preserve">Wortelingroei</t>
  </si>
  <si>
    <t xml:space="preserve">Bezinksel</t>
  </si>
  <si>
    <t xml:space="preserve">Grondindringing</t>
  </si>
  <si>
    <t xml:space="preserve">Obstakels</t>
  </si>
  <si>
    <t xml:space="preserve">Infiltratie</t>
  </si>
  <si>
    <t xml:space="preserve">Scheurvorming</t>
  </si>
  <si>
    <t xml:space="preserve">Deformatie, niet kritiek</t>
  </si>
  <si>
    <t xml:space="preserve">Onthechting</t>
  </si>
  <si>
    <t xml:space="preserve">Delaminatie</t>
  </si>
  <si>
    <t xml:space="preserve">Vervorming</t>
  </si>
  <si>
    <t xml:space="preserve">Desintegratie</t>
  </si>
  <si>
    <t xml:space="preserve">Slijtage, mechanisch</t>
  </si>
  <si>
    <t xml:space="preserve">Aansluiting, defect</t>
  </si>
  <si>
    <t xml:space="preserve">Verpulveren</t>
  </si>
  <si>
    <t xml:space="preserve">Verruiging</t>
  </si>
  <si>
    <t xml:space="preserve">Vertrapping</t>
  </si>
  <si>
    <t xml:space="preserve">Wildschade</t>
  </si>
  <si>
    <t xml:space="preserve">Aanhechtingsmankement</t>
  </si>
  <si>
    <t xml:space="preserve">Gesteltakken, gescheurd</t>
  </si>
  <si>
    <t xml:space="preserve">Windworp</t>
  </si>
  <si>
    <t xml:space="preserve">Omgevallen</t>
  </si>
  <si>
    <t xml:space="preserve">Aansluiting, onvoldoende</t>
  </si>
  <si>
    <t xml:space="preserve">Erosie</t>
  </si>
  <si>
    <t xml:space="preserve">Gaten</t>
  </si>
  <si>
    <t xml:space="preserve">Bevestiging, onjuist</t>
  </si>
  <si>
    <t xml:space="preserve">Bevestiging, ontbreekt</t>
  </si>
  <si>
    <t xml:space="preserve">Bevestiging, defect</t>
  </si>
  <si>
    <t xml:space="preserve">Corrosie, uniform</t>
  </si>
  <si>
    <t xml:space="preserve">Putcorrosie</t>
  </si>
  <si>
    <t xml:space="preserve">Spleetcorrosie</t>
  </si>
  <si>
    <t xml:space="preserve">Wapeningscorrosie</t>
  </si>
  <si>
    <t xml:space="preserve">Beschermingsgraad, onvoldoende</t>
  </si>
  <si>
    <t xml:space="preserve">Functie, verminderd</t>
  </si>
  <si>
    <t xml:space="preserve">Functie, afwezig</t>
  </si>
  <si>
    <t xml:space="preserve">Servicetermijn, ten einde</t>
  </si>
  <si>
    <t xml:space="preserve">Instelling, foutief</t>
  </si>
  <si>
    <t xml:space="preserve">Kortsluitvastheid, onvoldoende</t>
  </si>
  <si>
    <t xml:space="preserve">Markering, onjuist</t>
  </si>
  <si>
    <t xml:space="preserve">Onderdeel, ontbreekt</t>
  </si>
  <si>
    <t xml:space="preserve">Diepte, onvoldoende</t>
  </si>
  <si>
    <t xml:space="preserve">Smering, onvoldoende</t>
  </si>
  <si>
    <t xml:space="preserve">Trilling, overmatig</t>
  </si>
  <si>
    <t xml:space="preserve">Warmte-ontwikkeling, overmatig</t>
  </si>
  <si>
    <t xml:space="preserve">Verspreidingsweerstand, onjuist</t>
  </si>
  <si>
    <t xml:space="preserve">Verkeerstekens, onvoldoende</t>
  </si>
  <si>
    <t xml:space="preserve">Capaciteit, verminderd</t>
  </si>
  <si>
    <t xml:space="preserve">Inlaat, instekend</t>
  </si>
  <si>
    <t xml:space="preserve">Vloeistofpeil, onjuist</t>
  </si>
  <si>
    <t xml:space="preserve">Begroeiing, ongewenst</t>
  </si>
  <si>
    <t xml:space="preserve">Verdwenen</t>
  </si>
  <si>
    <t xml:space="preserve">Biotoop, afwijkend</t>
  </si>
  <si>
    <t xml:space="preserve">Bladkleur, afwijkend</t>
  </si>
  <si>
    <t xml:space="preserve">Bladverkleuring</t>
  </si>
  <si>
    <t xml:space="preserve">Gewijzigd</t>
  </si>
  <si>
    <t xml:space="preserve">Groeistoornis, kritisch</t>
  </si>
  <si>
    <t xml:space="preserve">Scheutlengte-ontwikkeling</t>
  </si>
  <si>
    <t xml:space="preserve">Snoeiwond, afgrendeling onjuist</t>
  </si>
  <si>
    <t xml:space="preserve">Wondreactie</t>
  </si>
  <si>
    <t xml:space="preserve">Bloeiontwikkeling, onvoldoende</t>
  </si>
  <si>
    <t xml:space="preserve">Bloeiontwikkeling</t>
  </si>
  <si>
    <t xml:space="preserve">Groeihoogte onjuist, kritisch</t>
  </si>
  <si>
    <t xml:space="preserve">Stamontwikkeling</t>
  </si>
  <si>
    <t xml:space="preserve">Groeistoornis, niet kritisch</t>
  </si>
  <si>
    <t xml:space="preserve">Groeihoogte onjuist, niet kritisch</t>
  </si>
  <si>
    <t xml:space="preserve">Takken laaghangend, niet kritisch</t>
  </si>
  <si>
    <t xml:space="preserve">Kroon-stam, verhouding onjuist</t>
  </si>
  <si>
    <t xml:space="preserve">Kroon-stam, verhouding afwijkend</t>
  </si>
  <si>
    <t xml:space="preserve">Houtige begroeing, onderbroken</t>
  </si>
  <si>
    <t xml:space="preserve">Reactiehout</t>
  </si>
  <si>
    <t xml:space="preserve">Zuigers, overlast</t>
  </si>
  <si>
    <t xml:space="preserve">Wurgwortels</t>
  </si>
  <si>
    <t xml:space="preserve">Takken laaghangend, kritisch</t>
  </si>
  <si>
    <t xml:space="preserve">Top, dubbel</t>
  </si>
  <si>
    <t xml:space="preserve">Afsterving</t>
  </si>
  <si>
    <t xml:space="preserve">Stam, beschadigd</t>
  </si>
  <si>
    <t xml:space="preserve">Houtweefselschade</t>
  </si>
  <si>
    <t xml:space="preserve">Toplaag, dichtgeslibd</t>
  </si>
  <si>
    <t xml:space="preserve">Dichtgroei, boomopslag</t>
  </si>
  <si>
    <t xml:space="preserve">Vergrassing</t>
  </si>
  <si>
    <t xml:space="preserve">Verhouting</t>
  </si>
  <si>
    <t xml:space="preserve">Verlanding</t>
  </si>
  <si>
    <t xml:space="preserve">Vermossing</t>
  </si>
  <si>
    <t xml:space="preserve">Verstuiving</t>
  </si>
  <si>
    <t xml:space="preserve">Bedekkingsgraad, onvoldoende</t>
  </si>
  <si>
    <t xml:space="preserve">Bedekkingsgraad</t>
  </si>
  <si>
    <t xml:space="preserve">Schade, mechanisch</t>
  </si>
  <si>
    <t xml:space="preserve">Draagkracht bodem, onvoldoende</t>
  </si>
  <si>
    <t xml:space="preserve">Slijtage, sportvelden</t>
  </si>
  <si>
    <t xml:space="preserve">Bladontwikkeling, onjuist</t>
  </si>
  <si>
    <t xml:space="preserve">Bladontwikkeling</t>
  </si>
  <si>
    <t xml:space="preserve">Boomvitaliteit, vermindering</t>
  </si>
  <si>
    <t xml:space="preserve">Kroonontwikkeling, onevenwichtig</t>
  </si>
  <si>
    <t xml:space="preserve">Exotengroei, ongewenst</t>
  </si>
  <si>
    <t xml:space="preserve">Verdroging</t>
  </si>
  <si>
    <t xml:space="preserve">Kroon, beschadigd</t>
  </si>
  <si>
    <t xml:space="preserve">Wortels, beschadigd</t>
  </si>
  <si>
    <t xml:space="preserve">Plakoksel</t>
  </si>
  <si>
    <t xml:space="preserve">Groeiontwikkeling</t>
  </si>
  <si>
    <t xml:space="preserve">Afdekking, ongewenst</t>
  </si>
  <si>
    <t xml:space="preserve">Soortenrijkdom, onvoldoende</t>
  </si>
  <si>
    <t xml:space="preserve">Theoretische levensduur, 100%</t>
  </si>
  <si>
    <t xml:space="preserve">Theoretische levensduur, tussen 50% en 75%</t>
  </si>
  <si>
    <t xml:space="preserve">Theoretische levensduur, ouder dan 75%</t>
  </si>
  <si>
    <t xml:space="preserve">Graffity</t>
  </si>
  <si>
    <t xml:space="preserve">Onkruidgroei</t>
  </si>
  <si>
    <t xml:space="preserve">Organische stof, overlast</t>
  </si>
  <si>
    <t xml:space="preserve">Verstopping</t>
  </si>
  <si>
    <t xml:space="preserve">Vervuiling</t>
  </si>
  <si>
    <t xml:space="preserve">Afzetting, aangehecht</t>
  </si>
  <si>
    <t xml:space="preserve">Aangroei</t>
  </si>
  <si>
    <t xml:space="preserve">Afzetting, bezonken</t>
  </si>
  <si>
    <t xml:space="preserve">Insectenvraat, niet kritisch</t>
  </si>
  <si>
    <t xml:space="preserve">Stroefheid</t>
  </si>
  <si>
    <t xml:space="preserve">Wet &amp; regelgeving, voldoet niet</t>
  </si>
  <si>
    <t xml:space="preserve">Ziekte, kritisch</t>
  </si>
  <si>
    <t xml:space="preserve">Ziekte, niet kritisch</t>
  </si>
  <si>
    <t xml:space="preserve">Afschot, foutief</t>
  </si>
  <si>
    <t xml:space="preserve">Boomwortelopgroei</t>
  </si>
  <si>
    <t xml:space="preserve">Dwarsonvlakheid</t>
  </si>
  <si>
    <t xml:space="preserve">Langsonvlakheid</t>
  </si>
  <si>
    <t xml:space="preserve">Oneffenheden</t>
  </si>
  <si>
    <t xml:space="preserve">Opbolling</t>
  </si>
  <si>
    <t xml:space="preserve">Plasvorming</t>
  </si>
  <si>
    <t xml:space="preserve">Spoorvorming</t>
  </si>
  <si>
    <t xml:space="preserve">Voegwijdte, onjuist</t>
  </si>
  <si>
    <t xml:space="preserve">Zetting</t>
  </si>
  <si>
    <t xml:space="preserve">Spoordiepte</t>
  </si>
  <si>
    <t xml:space="preserve">Comfort, fietspad</t>
  </si>
  <si>
    <t xml:space="preserve">Kwelplek</t>
  </si>
  <si>
    <t xml:space="preserve">Verweking</t>
  </si>
  <si>
    <t xml:space="preserve">Wellen (zandmeevoerend)</t>
  </si>
  <si>
    <t xml:space="preserve">Leemgehalte, onjuist</t>
  </si>
  <si>
    <t xml:space="preserve">Verzuring</t>
  </si>
  <si>
    <t xml:space="preserve">Aantasting, kritisch</t>
  </si>
  <si>
    <t xml:space="preserve">Aantasting, niet kritisch</t>
  </si>
  <si>
    <t xml:space="preserve">Insectenvraat, kritisch</t>
  </si>
  <si>
    <t xml:space="preserve">Blauwalgontwikkeling</t>
  </si>
  <si>
    <t xml:space="preserve">Aantasting</t>
  </si>
  <si>
    <t xml:space="preserve">Onderdeel</t>
  </si>
  <si>
    <t xml:space="preserve">Oud</t>
  </si>
  <si>
    <t xml:space="preserve">Nieuw</t>
  </si>
  <si>
    <t xml:space="preserve">Gebrek</t>
  </si>
  <si>
    <t xml:space="preserve">Delta tabel (gebrek)</t>
  </si>
  <si>
    <t xml:space="preserve">Naam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</si>
</sst>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trike val="true"/>
      <sz val="10"/>
      <color rgb="FFFF0000"/>
      <name val="Arial"/>
      <family val="0"/>
      <charset val="1"/>
    </font>
    <font>
      <i val="true"/>
      <sz val="10"/>
      <color rgb="FFFFA5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trike val="true"/>
      <sz val="9"/>
      <color rgb="FFFF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i val="true"/>
      <sz val="9"/>
      <color rgb="FFFFA5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1F3864"/>
      </top>
      <bottom style="hair">
        <color rgb="FFBFBFBF"/>
      </bottom>
      <diagonal/>
    </border>
    <border diagonalUp="false" diagonalDown="false">
      <left style="thin">
        <color rgb="FFA6A6A6"/>
      </left>
      <right style="thin">
        <color rgb="FFA6A6A6"/>
      </right>
      <top style="hair">
        <color rgb="FFBFBFBF"/>
      </top>
      <bottom style="hair">
        <color rgb="FFBFBFBF"/>
      </bottom>
      <diagonal/>
    </border>
    <border diagonalUp="false" diagonalDown="false">
      <left style="thin">
        <color rgb="FFA6A6A6"/>
      </left>
      <right style="thin">
        <color rgb="FFA6A6A6"/>
      </right>
      <top style="hair">
        <color rgb="FFBFBFBF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1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6" fillId="2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2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6" fillId="2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ont>
        <b val="1"/>
        <color rgb="FFC65911"/>
      </font>
      <fill>
        <patternFill>
          <bgColor rgb="FFFCE4D6"/>
        </patternFill>
      </fill>
    </dxf>
    <dxf>
      <font>
        <b val="1"/>
        <color rgb="FF008000"/>
      </font>
      <fill>
        <patternFill>
          <bgColor rgb="FFE2EFDA"/>
        </patternFill>
      </fill>
    </dxf>
    <dxf>
      <font>
        <b val="1"/>
        <color rgb="FFFF0000"/>
      </font>
      <fill>
        <patternFill>
          <bgColor rgb="FFFCE4E4"/>
        </patternFill>
      </fill>
    </dxf>
    <dxf>
      <font>
        <b val="1"/>
        <color rgb="FF008000"/>
      </font>
    </dxf>
    <dxf>
      <font>
        <b val="1"/>
        <color rgb="FFFF0000"/>
      </font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strike val="1"/>
        <color rgb="FFFF0000"/>
      </font>
      <fill>
        <patternFill>
          <bgColor rgb="FFFCE4E4"/>
        </patternFill>
      </fill>
    </dxf>
    <dxf>
      <font>
        <i val="1"/>
        <color rgb="FFC65911"/>
      </font>
      <fill>
        <patternFill>
          <bgColor rgb="FFFFF2CC"/>
        </patternFill>
      </fill>
    </dxf>
    <dxf>
      <fill>
        <patternFill patternType="solid">
          <fgColor rgb="FFFFA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E4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A500"/>
      <rgbColor rgb="FFC65911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Gebreken" displayName="tblGebreken" ref="A1:D167" headerRowCount="1" totalsRowCount="0" totalsRowShown="0">
  <autoFilter ref="A1:D167"/>
  <tableColumns count="4">
    <tableColumn id="1" name="Gebrekgroep"/>
    <tableColumn id="2" name="Gebrek (oud)"/>
    <tableColumn id="3" name="Gebrek (nieuw)"/>
    <tableColumn id="4" name="Mutatie"/>
  </tableColumns>
</table>
</file>

<file path=xl/tables/table2.xml><?xml version="1.0" encoding="utf-8"?>
<table xmlns="http://schemas.openxmlformats.org/spreadsheetml/2006/main" id="2" name="tblGebrekgroepen" displayName="tblGebrekgroepen" ref="A1:I16" headerRowCount="1" totalsRowCount="0" totalsRowShown="0">
  <autoFilter ref="A1:I16"/>
  <tableColumns count="9">
    <tableColumn id="1" name="Gebrekgroep"/>
    <tableColumn id="2" name="Groepstatus"/>
    <tableColumn id="3" name="Naam (vorige versie)"/>
    <tableColumn id="4" name="Gebreken (actueel)"/>
    <tableColumn id="5" name="Gebreken (oud)"/>
    <tableColumn id="6" name="Gebreken (nieuw)"/>
    <tableColumn id="7" name="Toegevoegd"/>
    <tableColumn id="8" name="Vervallen"/>
    <tableColumn id="9" name="Status"/>
  </tableColumns>
</table>
</file>

<file path=xl/tables/table3.xml><?xml version="1.0" encoding="utf-8"?>
<table xmlns="http://schemas.openxmlformats.org/spreadsheetml/2006/main" id="3" name="tblWijzigingen" displayName="tblWijzigingen" ref="A1:E49" headerRowCount="1" totalsRowCount="0" totalsRowShown="0">
  <autoFilter ref="A1:E49"/>
  <tableColumns count="5">
    <tableColumn id="1" name="Gebrekgroep"/>
    <tableColumn id="2" name="Onderdeel"/>
    <tableColumn id="3" name="Oud"/>
    <tableColumn id="4" name="Nieuw"/>
    <tableColumn id="5" name="Mutati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3" min="3" style="1" width="72"/>
  </cols>
  <sheetData>
    <row r="2" customFormat="false" ht="19.7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 t="s">
        <v>3</v>
      </c>
    </row>
    <row r="7" customFormat="false" ht="15" hidden="false" customHeight="false" outlineLevel="0" collapsed="false">
      <c r="B7" s="6" t="s">
        <v>4</v>
      </c>
    </row>
    <row r="8" customFormat="false" ht="15" hidden="false" customHeight="false" outlineLevel="0" collapsed="false">
      <c r="B8" s="7" t="s">
        <v>5</v>
      </c>
      <c r="C8" s="5" t="s">
        <v>6</v>
      </c>
    </row>
    <row r="9" customFormat="false" ht="15" hidden="false" customHeight="false" outlineLevel="0" collapsed="false">
      <c r="B9" s="8" t="s">
        <v>7</v>
      </c>
      <c r="C9" s="5" t="s">
        <v>8</v>
      </c>
    </row>
    <row r="10" customFormat="false" ht="15" hidden="false" customHeight="false" outlineLevel="0" collapsed="false">
      <c r="B10" s="9" t="s">
        <v>9</v>
      </c>
      <c r="C10" s="5" t="s">
        <v>10</v>
      </c>
    </row>
    <row r="11" customFormat="false" ht="15" hidden="false" customHeight="false" outlineLevel="0" collapsed="false">
      <c r="B11" s="10" t="s">
        <v>11</v>
      </c>
      <c r="C11" s="5" t="s">
        <v>12</v>
      </c>
    </row>
    <row r="12" customFormat="false" ht="15" hidden="false" customHeight="false" outlineLevel="0" collapsed="false">
      <c r="B12" s="11" t="s">
        <v>13</v>
      </c>
      <c r="C12" s="5" t="s">
        <v>14</v>
      </c>
    </row>
    <row r="14" customFormat="false" ht="15" hidden="false" customHeight="false" outlineLevel="0" collapsed="false">
      <c r="B14" s="6" t="s">
        <v>15</v>
      </c>
    </row>
    <row r="15" customFormat="false" ht="15" hidden="false" customHeight="false" outlineLevel="0" collapsed="false">
      <c r="B15" s="5" t="s">
        <v>16</v>
      </c>
      <c r="C15" s="12" t="n">
        <f aca="false">COUNTA(Gebrekgroepen!$A$2:$A$16)</f>
        <v>15</v>
      </c>
    </row>
    <row r="16" customFormat="false" ht="15" hidden="false" customHeight="false" outlineLevel="0" collapsed="false">
      <c r="B16" s="5" t="s">
        <v>17</v>
      </c>
      <c r="C16" s="12" t="n">
        <f aca="false">COUNTIF(Gebrekgroepen!$B$2:$B$16,"Nieuw")</f>
        <v>0</v>
      </c>
    </row>
    <row r="17" customFormat="false" ht="15" hidden="false" customHeight="false" outlineLevel="0" collapsed="false">
      <c r="B17" s="5" t="s">
        <v>18</v>
      </c>
      <c r="C17" s="12" t="n">
        <f aca="false">COUNTIF(Gebrekgroepen!$B$2:$B$16,"Vervallen")</f>
        <v>0</v>
      </c>
    </row>
    <row r="18" customFormat="false" ht="15" hidden="false" customHeight="false" outlineLevel="0" collapsed="false">
      <c r="B18" s="5" t="s">
        <v>19</v>
      </c>
      <c r="C18" s="12" t="n">
        <f aca="false">COUNTIF(Gebrekgroepen!$B$2:$B$16,"Hernoemd")</f>
        <v>0</v>
      </c>
    </row>
    <row r="19" customFormat="false" ht="15" hidden="false" customHeight="false" outlineLevel="0" collapsed="false">
      <c r="B19" s="5" t="s">
        <v>20</v>
      </c>
      <c r="C19" s="12" t="n">
        <f aca="false">COUNTIF(Gebrekgroepen!$I$2:$I$16,"Gewijzigd")+COUNTIF(Gebrekgroepen!$I$2:$I$16,"Nieuw")+COUNTIF(Gebrekgroepen!$I$2:$I$16,"Vervallen")</f>
        <v>7</v>
      </c>
    </row>
    <row r="20" customFormat="false" ht="15" hidden="false" customHeight="false" outlineLevel="0" collapsed="false">
      <c r="B20" s="5" t="s">
        <v>21</v>
      </c>
      <c r="C20" s="12" t="n">
        <f aca="false">COUNTA(Gebreken!$A$2:$A$167)</f>
        <v>166</v>
      </c>
    </row>
    <row r="21" customFormat="false" ht="15" hidden="false" customHeight="false" outlineLevel="0" collapsed="false">
      <c r="B21" s="5" t="s">
        <v>22</v>
      </c>
      <c r="C21" s="12" t="n">
        <f aca="false">COUNTIF(Gebreken!$D$2:$D$167,"Ongewijzigd")</f>
        <v>118</v>
      </c>
    </row>
    <row r="22" customFormat="false" ht="15" hidden="false" customHeight="false" outlineLevel="0" collapsed="false">
      <c r="B22" s="5" t="s">
        <v>23</v>
      </c>
      <c r="C22" s="12" t="n">
        <f aca="false">COUNTIF(Gebreken!$D$2:$D$167,"Toegevoegd")</f>
        <v>12</v>
      </c>
    </row>
    <row r="23" customFormat="false" ht="15" hidden="false" customHeight="false" outlineLevel="0" collapsed="false">
      <c r="B23" s="5" t="s">
        <v>24</v>
      </c>
      <c r="C23" s="12" t="n">
        <f aca="false">COUNTIF(Gebreken!$D$2:$D$167,"Vervallen")</f>
        <v>28</v>
      </c>
    </row>
    <row r="24" customFormat="false" ht="15" hidden="false" customHeight="false" outlineLevel="0" collapsed="false">
      <c r="B24" s="5" t="s">
        <v>25</v>
      </c>
      <c r="C24" s="12" t="n">
        <f aca="false">COUNTIF(Gebreken!$D$2:$D$167,"Gewijzigd")</f>
        <v>8</v>
      </c>
    </row>
    <row r="25" customFormat="false" ht="15" hidden="false" customHeight="false" outlineLevel="0" collapsed="false">
      <c r="B25" s="5" t="s">
        <v>26</v>
      </c>
      <c r="C25" s="12" t="n">
        <f aca="false">COUNTA(Wijzigingen!$A$2:$A$49)</f>
        <v>48</v>
      </c>
    </row>
    <row r="27" customFormat="false" ht="15" hidden="false" customHeight="false" outlineLevel="0" collapsed="false">
      <c r="B27" s="6" t="s">
        <v>27</v>
      </c>
    </row>
    <row r="28" customFormat="false" ht="27" hidden="false" customHeight="true" outlineLevel="0" collapsed="false">
      <c r="B28" s="13" t="s">
        <v>28</v>
      </c>
      <c r="C28" s="14" t="s">
        <v>29</v>
      </c>
    </row>
    <row r="29" customFormat="false" ht="27" hidden="false" customHeight="true" outlineLevel="0" collapsed="false">
      <c r="B29" s="13" t="s">
        <v>30</v>
      </c>
      <c r="C29" s="14" t="s">
        <v>31</v>
      </c>
    </row>
    <row r="30" customFormat="false" ht="27" hidden="false" customHeight="true" outlineLevel="0" collapsed="false">
      <c r="B30" s="13" t="s">
        <v>32</v>
      </c>
      <c r="C30" s="14" t="s">
        <v>33</v>
      </c>
    </row>
    <row r="31" customFormat="false" ht="27" hidden="false" customHeight="true" outlineLevel="0" collapsed="false">
      <c r="B31" s="13" t="s">
        <v>34</v>
      </c>
      <c r="C31" s="14" t="s">
        <v>35</v>
      </c>
    </row>
    <row r="33" customFormat="false" ht="15" hidden="false" customHeight="false" outlineLevel="0" collapsed="false">
      <c r="B33" s="6" t="s">
        <v>36</v>
      </c>
    </row>
    <row r="34" customFormat="false" ht="27" hidden="false" customHeight="true" outlineLevel="0" collapsed="false">
      <c r="B34" s="15" t="s">
        <v>37</v>
      </c>
      <c r="C34" s="15"/>
    </row>
    <row r="35" customFormat="false" ht="27" hidden="false" customHeight="true" outlineLevel="0" collapsed="false">
      <c r="B35" s="15" t="s">
        <v>38</v>
      </c>
      <c r="C35" s="15"/>
    </row>
    <row r="36" customFormat="false" ht="27" hidden="false" customHeight="true" outlineLevel="0" collapsed="false">
      <c r="B36" s="15" t="s">
        <v>39</v>
      </c>
      <c r="C36" s="15"/>
    </row>
    <row r="37" customFormat="false" ht="27" hidden="false" customHeight="true" outlineLevel="0" collapsed="false">
      <c r="B37" s="15" t="s">
        <v>40</v>
      </c>
      <c r="C37" s="15"/>
    </row>
    <row r="38" customFormat="false" ht="27" hidden="false" customHeight="true" outlineLevel="0" collapsed="false">
      <c r="B38" s="15" t="s">
        <v>41</v>
      </c>
      <c r="C38" s="15"/>
    </row>
    <row r="39" customFormat="false" ht="27" hidden="false" customHeight="true" outlineLevel="0" collapsed="false">
      <c r="B39" s="15" t="s">
        <v>42</v>
      </c>
      <c r="C39" s="15"/>
    </row>
  </sheetData>
  <mergeCells count="6">
    <mergeCell ref="B34:C34"/>
    <mergeCell ref="B35:C35"/>
    <mergeCell ref="B36:C36"/>
    <mergeCell ref="B37:C37"/>
    <mergeCell ref="B38:C38"/>
    <mergeCell ref="B39:C39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– pagina &amp;P van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7" min="5" style="1" width="11"/>
    <col collapsed="false" customWidth="true" hidden="false" outlineLevel="0" max="8" min="8" style="1" width="10"/>
    <col collapsed="false" customWidth="true" hidden="false" outlineLevel="0" max="9" min="9" style="1" width="12"/>
  </cols>
  <sheetData>
    <row r="1" customFormat="false" ht="39.75" hidden="false" customHeight="true" outlineLevel="0" collapsed="false">
      <c r="A1" s="16" t="s">
        <v>43</v>
      </c>
      <c r="B1" s="16" t="s">
        <v>44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</row>
    <row r="2" customFormat="false" ht="171" hidden="false" customHeight="true" outlineLevel="0" collapsed="false">
      <c r="A2" s="17" t="s">
        <v>52</v>
      </c>
      <c r="B2" s="18" t="s">
        <v>53</v>
      </c>
      <c r="C2" s="18"/>
      <c r="D2" s="18" t="s">
        <v>54</v>
      </c>
      <c r="E2" s="19" t="n">
        <f aca="false">COUNTIFS(Gebreken!$A$2:$A$167,$A2,Gebreken!$B$2:$B$167,"?*")</f>
        <v>54</v>
      </c>
      <c r="F2" s="19" t="n">
        <f aca="false">COUNTIFS(Gebreken!$A$2:$A$167,$A2,Gebreken!$C$2:$C$167,"?*")</f>
        <v>55</v>
      </c>
      <c r="G2" s="19" t="n">
        <f aca="false">COUNTIFS(Gebreken!$A$2:$A$167,$A2,Gebreken!$D$2:$D$167,"Toegevoegd")</f>
        <v>5</v>
      </c>
      <c r="H2" s="19" t="n">
        <f aca="false">COUNTIFS(Gebreken!$A$2:$A$167,$A2,Gebreken!$D$2:$D$167,"Vervallen")</f>
        <v>4</v>
      </c>
      <c r="I2" s="20" t="str">
        <f aca="false">IF(B2="Nieuw","Nieuw",IF(B2="Vervallen","Vervallen",IF(COUNTIF(Wijzigingen!$A$2:$A$49,$A2)&gt;0,"Gewijzigd","Ongewijzigd")))</f>
        <v>Gewijzigd</v>
      </c>
    </row>
    <row r="3" customFormat="false" ht="27" hidden="false" customHeight="true" outlineLevel="0" collapsed="false">
      <c r="A3" s="17" t="s">
        <v>55</v>
      </c>
      <c r="B3" s="18" t="s">
        <v>53</v>
      </c>
      <c r="C3" s="18"/>
      <c r="D3" s="18" t="s">
        <v>56</v>
      </c>
      <c r="E3" s="19" t="n">
        <f aca="false">COUNTIFS(Gebreken!$A$2:$A$167,$A3,Gebreken!$B$2:$B$167,"?*")</f>
        <v>3</v>
      </c>
      <c r="F3" s="19" t="n">
        <f aca="false">COUNTIFS(Gebreken!$A$2:$A$167,$A3,Gebreken!$C$2:$C$167,"?*")</f>
        <v>3</v>
      </c>
      <c r="G3" s="19" t="n">
        <f aca="false">COUNTIFS(Gebreken!$A$2:$A$167,$A3,Gebreken!$D$2:$D$167,"Toegevoegd")</f>
        <v>0</v>
      </c>
      <c r="H3" s="19" t="n">
        <f aca="false">COUNTIFS(Gebreken!$A$2:$A$167,$A3,Gebreken!$D$2:$D$167,"Vervallen")</f>
        <v>0</v>
      </c>
      <c r="I3" s="20" t="str">
        <f aca="false">IF(B3="Nieuw","Nieuw",IF(B3="Vervallen","Vervallen",IF(COUNTIF(Wijzigingen!$A$2:$A$49,$A3)&gt;0,"Gewijzigd","Ongewijzigd")))</f>
        <v>Ongewijzigd</v>
      </c>
    </row>
    <row r="4" customFormat="false" ht="15" hidden="false" customHeight="true" outlineLevel="0" collapsed="false">
      <c r="A4" s="17" t="s">
        <v>57</v>
      </c>
      <c r="B4" s="18" t="s">
        <v>53</v>
      </c>
      <c r="C4" s="18"/>
      <c r="D4" s="18" t="s">
        <v>58</v>
      </c>
      <c r="E4" s="19" t="n">
        <f aca="false">COUNTIFS(Gebreken!$A$2:$A$167,$A4,Gebreken!$B$2:$B$167,"?*")</f>
        <v>1</v>
      </c>
      <c r="F4" s="19" t="n">
        <f aca="false">COUNTIFS(Gebreken!$A$2:$A$167,$A4,Gebreken!$C$2:$C$167,"?*")</f>
        <v>1</v>
      </c>
      <c r="G4" s="19" t="n">
        <f aca="false">COUNTIFS(Gebreken!$A$2:$A$167,$A4,Gebreken!$D$2:$D$167,"Toegevoegd")</f>
        <v>0</v>
      </c>
      <c r="H4" s="19" t="n">
        <f aca="false">COUNTIFS(Gebreken!$A$2:$A$167,$A4,Gebreken!$D$2:$D$167,"Vervallen")</f>
        <v>0</v>
      </c>
      <c r="I4" s="20" t="str">
        <f aca="false">IF(B4="Nieuw","Nieuw",IF(B4="Vervallen","Vervallen",IF(COUNTIF(Wijzigingen!$A$2:$A$49,$A4)&gt;0,"Gewijzigd","Ongewijzigd")))</f>
        <v>Ongewijzigd</v>
      </c>
    </row>
    <row r="5" customFormat="false" ht="15" hidden="false" customHeight="true" outlineLevel="0" collapsed="false">
      <c r="A5" s="17" t="s">
        <v>59</v>
      </c>
      <c r="B5" s="18" t="s">
        <v>53</v>
      </c>
      <c r="C5" s="18"/>
      <c r="D5" s="18"/>
      <c r="E5" s="19" t="n">
        <f aca="false">COUNTIFS(Gebreken!$A$2:$A$167,$A5,Gebreken!$B$2:$B$167,"?*")</f>
        <v>0</v>
      </c>
      <c r="F5" s="19" t="n">
        <f aca="false">COUNTIFS(Gebreken!$A$2:$A$167,$A5,Gebreken!$C$2:$C$167,"?*")</f>
        <v>0</v>
      </c>
      <c r="G5" s="19" t="n">
        <f aca="false">COUNTIFS(Gebreken!$A$2:$A$167,$A5,Gebreken!$D$2:$D$167,"Toegevoegd")</f>
        <v>0</v>
      </c>
      <c r="H5" s="19" t="n">
        <f aca="false">COUNTIFS(Gebreken!$A$2:$A$167,$A5,Gebreken!$D$2:$D$167,"Vervallen")</f>
        <v>0</v>
      </c>
      <c r="I5" s="20" t="str">
        <f aca="false">IF(B5="Nieuw","Nieuw",IF(B5="Vervallen","Vervallen",IF(COUNTIF(Wijzigingen!$A$2:$A$49,$A5)&gt;0,"Gewijzigd","Ongewijzigd")))</f>
        <v>Ongewijzigd</v>
      </c>
    </row>
    <row r="6" customFormat="false" ht="27" hidden="false" customHeight="true" outlineLevel="0" collapsed="false">
      <c r="A6" s="17" t="s">
        <v>60</v>
      </c>
      <c r="B6" s="18" t="s">
        <v>53</v>
      </c>
      <c r="C6" s="18"/>
      <c r="D6" s="18" t="s">
        <v>61</v>
      </c>
      <c r="E6" s="19" t="n">
        <f aca="false">COUNTIFS(Gebreken!$A$2:$A$167,$A6,Gebreken!$B$2:$B$167,"?*")</f>
        <v>4</v>
      </c>
      <c r="F6" s="19" t="n">
        <f aca="false">COUNTIFS(Gebreken!$A$2:$A$167,$A6,Gebreken!$C$2:$C$167,"?*")</f>
        <v>4</v>
      </c>
      <c r="G6" s="19" t="n">
        <f aca="false">COUNTIFS(Gebreken!$A$2:$A$167,$A6,Gebreken!$D$2:$D$167,"Toegevoegd")</f>
        <v>0</v>
      </c>
      <c r="H6" s="19" t="n">
        <f aca="false">COUNTIFS(Gebreken!$A$2:$A$167,$A6,Gebreken!$D$2:$D$167,"Vervallen")</f>
        <v>0</v>
      </c>
      <c r="I6" s="20" t="str">
        <f aca="false">IF(B6="Nieuw","Nieuw",IF(B6="Vervallen","Vervallen",IF(COUNTIF(Wijzigingen!$A$2:$A$49,$A6)&gt;0,"Gewijzigd","Ongewijzigd")))</f>
        <v>Ongewijzigd</v>
      </c>
    </row>
    <row r="7" customFormat="false" ht="15" hidden="false" customHeight="true" outlineLevel="0" collapsed="false">
      <c r="A7" s="17" t="s">
        <v>62</v>
      </c>
      <c r="B7" s="18" t="s">
        <v>53</v>
      </c>
      <c r="C7" s="18"/>
      <c r="D7" s="18" t="s">
        <v>63</v>
      </c>
      <c r="E7" s="19" t="n">
        <f aca="false">COUNTIFS(Gebreken!$A$2:$A$167,$A7,Gebreken!$B$2:$B$167,"?*")</f>
        <v>1</v>
      </c>
      <c r="F7" s="19" t="n">
        <f aca="false">COUNTIFS(Gebreken!$A$2:$A$167,$A7,Gebreken!$C$2:$C$167,"?*")</f>
        <v>1</v>
      </c>
      <c r="G7" s="19" t="n">
        <f aca="false">COUNTIFS(Gebreken!$A$2:$A$167,$A7,Gebreken!$D$2:$D$167,"Toegevoegd")</f>
        <v>0</v>
      </c>
      <c r="H7" s="19" t="n">
        <f aca="false">COUNTIFS(Gebreken!$A$2:$A$167,$A7,Gebreken!$D$2:$D$167,"Vervallen")</f>
        <v>0</v>
      </c>
      <c r="I7" s="20" t="str">
        <f aca="false">IF(B7="Nieuw","Nieuw",IF(B7="Vervallen","Vervallen",IF(COUNTIF(Wijzigingen!$A$2:$A$49,$A7)&gt;0,"Gewijzigd","Ongewijzigd")))</f>
        <v>Ongewijzigd</v>
      </c>
    </row>
    <row r="8" customFormat="false" ht="99" hidden="false" customHeight="true" outlineLevel="0" collapsed="false">
      <c r="A8" s="17" t="s">
        <v>64</v>
      </c>
      <c r="B8" s="18" t="s">
        <v>53</v>
      </c>
      <c r="C8" s="18"/>
      <c r="D8" s="18" t="s">
        <v>65</v>
      </c>
      <c r="E8" s="19" t="n">
        <f aca="false">COUNTIFS(Gebreken!$A$2:$A$167,$A8,Gebreken!$B$2:$B$167,"?*")</f>
        <v>17</v>
      </c>
      <c r="F8" s="19" t="n">
        <f aca="false">COUNTIFS(Gebreken!$A$2:$A$167,$A8,Gebreken!$C$2:$C$167,"?*")</f>
        <v>19</v>
      </c>
      <c r="G8" s="19" t="n">
        <f aca="false">COUNTIFS(Gebreken!$A$2:$A$167,$A8,Gebreken!$D$2:$D$167,"Toegevoegd")</f>
        <v>2</v>
      </c>
      <c r="H8" s="19" t="n">
        <f aca="false">COUNTIFS(Gebreken!$A$2:$A$167,$A8,Gebreken!$D$2:$D$167,"Vervallen")</f>
        <v>0</v>
      </c>
      <c r="I8" s="20" t="str">
        <f aca="false">IF(B8="Nieuw","Nieuw",IF(B8="Vervallen","Vervallen",IF(COUNTIF(Wijzigingen!$A$2:$A$49,$A8)&gt;0,"Gewijzigd","Ongewijzigd")))</f>
        <v>Gewijzigd</v>
      </c>
    </row>
    <row r="9" customFormat="false" ht="27" hidden="false" customHeight="true" outlineLevel="0" collapsed="false">
      <c r="A9" s="17" t="s">
        <v>66</v>
      </c>
      <c r="B9" s="18" t="s">
        <v>53</v>
      </c>
      <c r="C9" s="18"/>
      <c r="D9" s="18" t="s">
        <v>67</v>
      </c>
      <c r="E9" s="19" t="n">
        <f aca="false">COUNTIFS(Gebreken!$A$2:$A$167,$A9,Gebreken!$B$2:$B$167,"?*")</f>
        <v>17</v>
      </c>
      <c r="F9" s="19" t="n">
        <f aca="false">COUNTIFS(Gebreken!$A$2:$A$167,$A9,Gebreken!$C$2:$C$167,"?*")</f>
        <v>6</v>
      </c>
      <c r="G9" s="19" t="n">
        <f aca="false">COUNTIFS(Gebreken!$A$2:$A$167,$A9,Gebreken!$D$2:$D$167,"Toegevoegd")</f>
        <v>0</v>
      </c>
      <c r="H9" s="19" t="n">
        <f aca="false">COUNTIFS(Gebreken!$A$2:$A$167,$A9,Gebreken!$D$2:$D$167,"Vervallen")</f>
        <v>11</v>
      </c>
      <c r="I9" s="20" t="str">
        <f aca="false">IF(B9="Nieuw","Nieuw",IF(B9="Vervallen","Vervallen",IF(COUNTIF(Wijzigingen!$A$2:$A$49,$A9)&gt;0,"Gewijzigd","Ongewijzigd")))</f>
        <v>Gewijzigd</v>
      </c>
    </row>
    <row r="10" customFormat="false" ht="63" hidden="false" customHeight="true" outlineLevel="0" collapsed="false">
      <c r="A10" s="17" t="s">
        <v>68</v>
      </c>
      <c r="B10" s="18" t="s">
        <v>53</v>
      </c>
      <c r="C10" s="18"/>
      <c r="D10" s="18" t="s">
        <v>69</v>
      </c>
      <c r="E10" s="19" t="n">
        <f aca="false">COUNTIFS(Gebreken!$A$2:$A$167,$A10,Gebreken!$B$2:$B$167,"?*")</f>
        <v>21</v>
      </c>
      <c r="F10" s="19" t="n">
        <f aca="false">COUNTIFS(Gebreken!$A$2:$A$167,$A10,Gebreken!$C$2:$C$167,"?*")</f>
        <v>17</v>
      </c>
      <c r="G10" s="19" t="n">
        <f aca="false">COUNTIFS(Gebreken!$A$2:$A$167,$A10,Gebreken!$D$2:$D$167,"Toegevoegd")</f>
        <v>3</v>
      </c>
      <c r="H10" s="19" t="n">
        <f aca="false">COUNTIFS(Gebreken!$A$2:$A$167,$A10,Gebreken!$D$2:$D$167,"Vervallen")</f>
        <v>7</v>
      </c>
      <c r="I10" s="20" t="str">
        <f aca="false">IF(B10="Nieuw","Nieuw",IF(B10="Vervallen","Vervallen",IF(COUNTIF(Wijzigingen!$A$2:$A$49,$A10)&gt;0,"Gewijzigd","Ongewijzigd")))</f>
        <v>Gewijzigd</v>
      </c>
    </row>
    <row r="11" customFormat="false" ht="27" hidden="false" customHeight="true" outlineLevel="0" collapsed="false">
      <c r="A11" s="17" t="s">
        <v>70</v>
      </c>
      <c r="B11" s="18" t="s">
        <v>53</v>
      </c>
      <c r="C11" s="18"/>
      <c r="D11" s="18" t="s">
        <v>71</v>
      </c>
      <c r="E11" s="19" t="n">
        <f aca="false">COUNTIFS(Gebreken!$A$2:$A$167,$A11,Gebreken!$B$2:$B$167,"?*")</f>
        <v>3</v>
      </c>
      <c r="F11" s="19" t="n">
        <f aca="false">COUNTIFS(Gebreken!$A$2:$A$167,$A11,Gebreken!$C$2:$C$167,"?*")</f>
        <v>3</v>
      </c>
      <c r="G11" s="19" t="n">
        <f aca="false">COUNTIFS(Gebreken!$A$2:$A$167,$A11,Gebreken!$D$2:$D$167,"Toegevoegd")</f>
        <v>0</v>
      </c>
      <c r="H11" s="19" t="n">
        <f aca="false">COUNTIFS(Gebreken!$A$2:$A$167,$A11,Gebreken!$D$2:$D$167,"Vervallen")</f>
        <v>0</v>
      </c>
      <c r="I11" s="20" t="str">
        <f aca="false">IF(B11="Nieuw","Nieuw",IF(B11="Vervallen","Vervallen",IF(COUNTIF(Wijzigingen!$A$2:$A$49,$A11)&gt;0,"Gewijzigd","Ongewijzigd")))</f>
        <v>Ongewijzigd</v>
      </c>
    </row>
    <row r="12" customFormat="false" ht="39" hidden="false" customHeight="true" outlineLevel="0" collapsed="false">
      <c r="A12" s="17" t="s">
        <v>72</v>
      </c>
      <c r="B12" s="18" t="s">
        <v>53</v>
      </c>
      <c r="C12" s="18"/>
      <c r="D12" s="18" t="s">
        <v>73</v>
      </c>
      <c r="E12" s="19" t="n">
        <f aca="false">COUNTIFS(Gebreken!$A$2:$A$167,$A12,Gebreken!$B$2:$B$167,"?*")</f>
        <v>9</v>
      </c>
      <c r="F12" s="19" t="n">
        <f aca="false">COUNTIFS(Gebreken!$A$2:$A$167,$A12,Gebreken!$C$2:$C$167,"?*")</f>
        <v>8</v>
      </c>
      <c r="G12" s="19" t="n">
        <f aca="false">COUNTIFS(Gebreken!$A$2:$A$167,$A12,Gebreken!$D$2:$D$167,"Toegevoegd")</f>
        <v>0</v>
      </c>
      <c r="H12" s="19" t="n">
        <f aca="false">COUNTIFS(Gebreken!$A$2:$A$167,$A12,Gebreken!$D$2:$D$167,"Vervallen")</f>
        <v>1</v>
      </c>
      <c r="I12" s="20" t="str">
        <f aca="false">IF(B12="Nieuw","Nieuw",IF(B12="Vervallen","Vervallen",IF(COUNTIF(Wijzigingen!$A$2:$A$49,$A12)&gt;0,"Gewijzigd","Ongewijzigd")))</f>
        <v>Gewijzigd</v>
      </c>
    </row>
    <row r="13" customFormat="false" ht="15" hidden="false" customHeight="true" outlineLevel="0" collapsed="false">
      <c r="A13" s="17" t="s">
        <v>74</v>
      </c>
      <c r="B13" s="18" t="s">
        <v>53</v>
      </c>
      <c r="C13" s="18"/>
      <c r="D13" s="18" t="s">
        <v>75</v>
      </c>
      <c r="E13" s="19" t="n">
        <f aca="false">COUNTIFS(Gebreken!$A$2:$A$167,$A13,Gebreken!$B$2:$B$167,"?*")</f>
        <v>4</v>
      </c>
      <c r="F13" s="19" t="n">
        <f aca="false">COUNTIFS(Gebreken!$A$2:$A$167,$A13,Gebreken!$C$2:$C$167,"?*")</f>
        <v>2</v>
      </c>
      <c r="G13" s="19" t="n">
        <f aca="false">COUNTIFS(Gebreken!$A$2:$A$167,$A13,Gebreken!$D$2:$D$167,"Toegevoegd")</f>
        <v>0</v>
      </c>
      <c r="H13" s="19" t="n">
        <f aca="false">COUNTIFS(Gebreken!$A$2:$A$167,$A13,Gebreken!$D$2:$D$167,"Vervallen")</f>
        <v>2</v>
      </c>
      <c r="I13" s="20" t="str">
        <f aca="false">IF(B13="Nieuw","Nieuw",IF(B13="Vervallen","Vervallen",IF(COUNTIF(Wijzigingen!$A$2:$A$49,$A13)&gt;0,"Gewijzigd","Ongewijzigd")))</f>
        <v>Gewijzigd</v>
      </c>
    </row>
    <row r="14" customFormat="false" ht="39" hidden="false" customHeight="true" outlineLevel="0" collapsed="false">
      <c r="A14" s="17" t="s">
        <v>76</v>
      </c>
      <c r="B14" s="18" t="s">
        <v>53</v>
      </c>
      <c r="C14" s="18"/>
      <c r="D14" s="18" t="s">
        <v>77</v>
      </c>
      <c r="E14" s="19" t="n">
        <f aca="false">COUNTIFS(Gebreken!$A$2:$A$167,$A14,Gebreken!$B$2:$B$167,"?*")</f>
        <v>12</v>
      </c>
      <c r="F14" s="19" t="n">
        <f aca="false">COUNTIFS(Gebreken!$A$2:$A$167,$A14,Gebreken!$C$2:$C$167,"?*")</f>
        <v>12</v>
      </c>
      <c r="G14" s="19" t="n">
        <f aca="false">COUNTIFS(Gebreken!$A$2:$A$167,$A14,Gebreken!$D$2:$D$167,"Toegevoegd")</f>
        <v>0</v>
      </c>
      <c r="H14" s="19" t="n">
        <f aca="false">COUNTIFS(Gebreken!$A$2:$A$167,$A14,Gebreken!$D$2:$D$167,"Vervallen")</f>
        <v>0</v>
      </c>
      <c r="I14" s="20" t="str">
        <f aca="false">IF(B14="Nieuw","Nieuw",IF(B14="Vervallen","Vervallen",IF(COUNTIF(Wijzigingen!$A$2:$A$49,$A14)&gt;0,"Gewijzigd","Ongewijzigd")))</f>
        <v>Ongewijzigd</v>
      </c>
    </row>
    <row r="15" customFormat="false" ht="15" hidden="false" customHeight="true" outlineLevel="0" collapsed="false">
      <c r="A15" s="17" t="s">
        <v>78</v>
      </c>
      <c r="B15" s="18" t="s">
        <v>53</v>
      </c>
      <c r="C15" s="18"/>
      <c r="D15" s="18" t="s">
        <v>79</v>
      </c>
      <c r="E15" s="19" t="n">
        <f aca="false">COUNTIFS(Gebreken!$A$2:$A$167,$A15,Gebreken!$B$2:$B$167,"?*")</f>
        <v>3</v>
      </c>
      <c r="F15" s="19" t="n">
        <f aca="false">COUNTIFS(Gebreken!$A$2:$A$167,$A15,Gebreken!$C$2:$C$167,"?*")</f>
        <v>3</v>
      </c>
      <c r="G15" s="19" t="n">
        <f aca="false">COUNTIFS(Gebreken!$A$2:$A$167,$A15,Gebreken!$D$2:$D$167,"Toegevoegd")</f>
        <v>0</v>
      </c>
      <c r="H15" s="19" t="n">
        <f aca="false">COUNTIFS(Gebreken!$A$2:$A$167,$A15,Gebreken!$D$2:$D$167,"Vervallen")</f>
        <v>0</v>
      </c>
      <c r="I15" s="20" t="str">
        <f aca="false">IF(B15="Nieuw","Nieuw",IF(B15="Vervallen","Vervallen",IF(COUNTIF(Wijzigingen!$A$2:$A$49,$A15)&gt;0,"Gewijzigd","Ongewijzigd")))</f>
        <v>Ongewijzigd</v>
      </c>
    </row>
    <row r="16" customFormat="false" ht="27" hidden="false" customHeight="true" outlineLevel="0" collapsed="false">
      <c r="A16" s="17" t="s">
        <v>80</v>
      </c>
      <c r="B16" s="18" t="s">
        <v>53</v>
      </c>
      <c r="C16" s="18"/>
      <c r="D16" s="18" t="s">
        <v>81</v>
      </c>
      <c r="E16" s="19" t="n">
        <f aca="false">COUNTIFS(Gebreken!$A$2:$A$167,$A16,Gebreken!$B$2:$B$167,"?*")</f>
        <v>5</v>
      </c>
      <c r="F16" s="19" t="n">
        <f aca="false">COUNTIFS(Gebreken!$A$2:$A$167,$A16,Gebreken!$C$2:$C$167,"?*")</f>
        <v>4</v>
      </c>
      <c r="G16" s="19" t="n">
        <f aca="false">COUNTIFS(Gebreken!$A$2:$A$167,$A16,Gebreken!$D$2:$D$167,"Toegevoegd")</f>
        <v>2</v>
      </c>
      <c r="H16" s="19" t="n">
        <f aca="false">COUNTIFS(Gebreken!$A$2:$A$167,$A16,Gebreken!$D$2:$D$167,"Vervallen")</f>
        <v>3</v>
      </c>
      <c r="I16" s="20" t="str">
        <f aca="false">IF(B16="Nieuw","Nieuw",IF(B16="Vervallen","Vervallen",IF(COUNTIF(Wijzigingen!$A$2:$A$49,$A16)&gt;0,"Gewijzigd","Ongewijzigd")))</f>
        <v>Gewijzigd</v>
      </c>
    </row>
  </sheetData>
  <conditionalFormatting sqref="I2:I16">
    <cfRule type="expression" priority="2" aboveAverage="0" equalAverage="0" bottom="0" percent="0" rank="0" text="" dxfId="7">
      <formula>$I2="Gewijzigd"</formula>
    </cfRule>
    <cfRule type="expression" priority="3" aboveAverage="0" equalAverage="0" bottom="0" percent="0" rank="0" text="" dxfId="8">
      <formula>$I2="Nieuw"</formula>
    </cfRule>
    <cfRule type="expression" priority="4" aboveAverage="0" equalAverage="0" bottom="0" percent="0" rank="0" text="" dxfId="9">
      <formula>$I2="Vervallen"</formula>
    </cfRule>
  </conditionalFormatting>
  <conditionalFormatting sqref="G2:G16">
    <cfRule type="expression" priority="5" aboveAverage="0" equalAverage="0" bottom="0" percent="0" rank="0" text="" dxfId="10">
      <formula>$G2&gt;0</formula>
    </cfRule>
  </conditionalFormatting>
  <conditionalFormatting sqref="H2:H16">
    <cfRule type="expression" priority="6" aboveAverage="0" equalAverage="0" bottom="0" percent="0" rank="0" text="" dxfId="11">
      <formula>$H2&gt;0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– pagina &amp;P van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D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42"/>
    <col collapsed="false" customWidth="true" hidden="false" outlineLevel="0" max="4" min="4" style="1" width="14"/>
  </cols>
  <sheetData>
    <row r="1" customFormat="false" ht="24" hidden="false" customHeight="true" outlineLevel="0" collapsed="false">
      <c r="A1" s="16" t="s">
        <v>43</v>
      </c>
      <c r="B1" s="16" t="s">
        <v>82</v>
      </c>
      <c r="C1" s="16" t="s">
        <v>83</v>
      </c>
      <c r="D1" s="16" t="s">
        <v>84</v>
      </c>
    </row>
    <row r="2" customFormat="false" ht="15" hidden="false" customHeight="false" outlineLevel="0" collapsed="false">
      <c r="A2" s="21" t="s">
        <v>52</v>
      </c>
      <c r="B2" s="21" t="s">
        <v>85</v>
      </c>
      <c r="C2" s="21" t="s">
        <v>85</v>
      </c>
      <c r="D2" s="21" t="s">
        <v>86</v>
      </c>
    </row>
    <row r="3" customFormat="false" ht="15" hidden="false" customHeight="false" outlineLevel="0" collapsed="false">
      <c r="A3" s="21" t="s">
        <v>52</v>
      </c>
      <c r="B3" s="21" t="s">
        <v>87</v>
      </c>
      <c r="C3" s="21" t="s">
        <v>87</v>
      </c>
      <c r="D3" s="21" t="s">
        <v>86</v>
      </c>
    </row>
    <row r="4" customFormat="false" ht="15" hidden="false" customHeight="false" outlineLevel="0" collapsed="false">
      <c r="A4" s="21" t="s">
        <v>52</v>
      </c>
      <c r="B4" s="21" t="s">
        <v>88</v>
      </c>
      <c r="C4" s="21" t="s">
        <v>88</v>
      </c>
      <c r="D4" s="21" t="s">
        <v>86</v>
      </c>
    </row>
    <row r="5" customFormat="false" ht="15" hidden="false" customHeight="false" outlineLevel="0" collapsed="false">
      <c r="A5" s="21" t="s">
        <v>52</v>
      </c>
      <c r="B5" s="21" t="s">
        <v>89</v>
      </c>
      <c r="C5" s="21" t="s">
        <v>89</v>
      </c>
      <c r="D5" s="21" t="s">
        <v>86</v>
      </c>
    </row>
    <row r="6" customFormat="false" ht="15" hidden="false" customHeight="false" outlineLevel="0" collapsed="false">
      <c r="A6" s="21" t="s">
        <v>52</v>
      </c>
      <c r="B6" s="21" t="s">
        <v>90</v>
      </c>
      <c r="C6" s="21" t="s">
        <v>90</v>
      </c>
      <c r="D6" s="21" t="s">
        <v>86</v>
      </c>
    </row>
    <row r="7" customFormat="false" ht="15" hidden="false" customHeight="false" outlineLevel="0" collapsed="false">
      <c r="A7" s="21" t="s">
        <v>52</v>
      </c>
      <c r="B7" s="21" t="s">
        <v>91</v>
      </c>
      <c r="C7" s="21" t="s">
        <v>91</v>
      </c>
      <c r="D7" s="21" t="s">
        <v>86</v>
      </c>
    </row>
    <row r="8" customFormat="false" ht="15" hidden="false" customHeight="false" outlineLevel="0" collapsed="false">
      <c r="A8" s="21" t="s">
        <v>52</v>
      </c>
      <c r="B8" s="21" t="s">
        <v>92</v>
      </c>
      <c r="C8" s="21" t="s">
        <v>92</v>
      </c>
      <c r="D8" s="21" t="s">
        <v>86</v>
      </c>
    </row>
    <row r="9" customFormat="false" ht="15" hidden="false" customHeight="false" outlineLevel="0" collapsed="false">
      <c r="A9" s="21" t="s">
        <v>52</v>
      </c>
      <c r="B9" s="21" t="s">
        <v>93</v>
      </c>
      <c r="C9" s="21" t="s">
        <v>93</v>
      </c>
      <c r="D9" s="21" t="s">
        <v>86</v>
      </c>
    </row>
    <row r="10" customFormat="false" ht="15" hidden="false" customHeight="false" outlineLevel="0" collapsed="false">
      <c r="A10" s="21" t="s">
        <v>52</v>
      </c>
      <c r="B10" s="21" t="s">
        <v>94</v>
      </c>
      <c r="C10" s="21" t="s">
        <v>94</v>
      </c>
      <c r="D10" s="21" t="s">
        <v>86</v>
      </c>
    </row>
    <row r="11" customFormat="false" ht="15" hidden="false" customHeight="false" outlineLevel="0" collapsed="false">
      <c r="A11" s="21" t="s">
        <v>52</v>
      </c>
      <c r="B11" s="21" t="s">
        <v>95</v>
      </c>
      <c r="C11" s="21" t="s">
        <v>95</v>
      </c>
      <c r="D11" s="21" t="s">
        <v>86</v>
      </c>
    </row>
    <row r="12" customFormat="false" ht="15" hidden="false" customHeight="false" outlineLevel="0" collapsed="false">
      <c r="A12" s="21" t="s">
        <v>52</v>
      </c>
      <c r="B12" s="21" t="s">
        <v>96</v>
      </c>
      <c r="C12" s="21" t="s">
        <v>96</v>
      </c>
      <c r="D12" s="21" t="s">
        <v>86</v>
      </c>
    </row>
    <row r="13" customFormat="false" ht="15" hidden="false" customHeight="false" outlineLevel="0" collapsed="false">
      <c r="A13" s="21" t="s">
        <v>52</v>
      </c>
      <c r="B13" s="21" t="s">
        <v>97</v>
      </c>
      <c r="C13" s="21" t="s">
        <v>97</v>
      </c>
      <c r="D13" s="21" t="s">
        <v>86</v>
      </c>
    </row>
    <row r="14" customFormat="false" ht="15" hidden="false" customHeight="false" outlineLevel="0" collapsed="false">
      <c r="A14" s="21" t="s">
        <v>52</v>
      </c>
      <c r="B14" s="21" t="s">
        <v>98</v>
      </c>
      <c r="C14" s="21" t="s">
        <v>98</v>
      </c>
      <c r="D14" s="21" t="s">
        <v>86</v>
      </c>
    </row>
    <row r="15" customFormat="false" ht="15" hidden="false" customHeight="false" outlineLevel="0" collapsed="false">
      <c r="A15" s="21" t="s">
        <v>52</v>
      </c>
      <c r="B15" s="21" t="s">
        <v>99</v>
      </c>
      <c r="C15" s="21" t="s">
        <v>99</v>
      </c>
      <c r="D15" s="21" t="s">
        <v>86</v>
      </c>
    </row>
    <row r="16" customFormat="false" ht="15" hidden="false" customHeight="false" outlineLevel="0" collapsed="false">
      <c r="A16" s="21" t="s">
        <v>52</v>
      </c>
      <c r="B16" s="21" t="s">
        <v>100</v>
      </c>
      <c r="C16" s="21" t="s">
        <v>100</v>
      </c>
      <c r="D16" s="21" t="s">
        <v>86</v>
      </c>
    </row>
    <row r="17" customFormat="false" ht="15" hidden="false" customHeight="false" outlineLevel="0" collapsed="false">
      <c r="A17" s="21" t="s">
        <v>52</v>
      </c>
      <c r="B17" s="21" t="s">
        <v>101</v>
      </c>
      <c r="C17" s="21" t="s">
        <v>101</v>
      </c>
      <c r="D17" s="21" t="s">
        <v>86</v>
      </c>
    </row>
    <row r="18" customFormat="false" ht="15" hidden="false" customHeight="false" outlineLevel="0" collapsed="false">
      <c r="A18" s="21" t="s">
        <v>52</v>
      </c>
      <c r="B18" s="21" t="s">
        <v>102</v>
      </c>
      <c r="C18" s="21" t="s">
        <v>102</v>
      </c>
      <c r="D18" s="21" t="s">
        <v>86</v>
      </c>
    </row>
    <row r="19" customFormat="false" ht="15" hidden="false" customHeight="false" outlineLevel="0" collapsed="false">
      <c r="A19" s="21" t="s">
        <v>52</v>
      </c>
      <c r="B19" s="21" t="s">
        <v>103</v>
      </c>
      <c r="C19" s="21" t="s">
        <v>103</v>
      </c>
      <c r="D19" s="21" t="s">
        <v>86</v>
      </c>
    </row>
    <row r="20" customFormat="false" ht="15" hidden="false" customHeight="false" outlineLevel="0" collapsed="false">
      <c r="A20" s="21" t="s">
        <v>52</v>
      </c>
      <c r="B20" s="21" t="s">
        <v>104</v>
      </c>
      <c r="C20" s="21" t="s">
        <v>104</v>
      </c>
      <c r="D20" s="21" t="s">
        <v>86</v>
      </c>
    </row>
    <row r="21" customFormat="false" ht="15" hidden="false" customHeight="false" outlineLevel="0" collapsed="false">
      <c r="A21" s="21" t="s">
        <v>52</v>
      </c>
      <c r="B21" s="21" t="s">
        <v>105</v>
      </c>
      <c r="C21" s="21" t="s">
        <v>105</v>
      </c>
      <c r="D21" s="21" t="s">
        <v>86</v>
      </c>
    </row>
    <row r="22" customFormat="false" ht="15" hidden="false" customHeight="false" outlineLevel="0" collapsed="false">
      <c r="A22" s="21" t="s">
        <v>52</v>
      </c>
      <c r="B22" s="21" t="s">
        <v>106</v>
      </c>
      <c r="C22" s="21" t="s">
        <v>106</v>
      </c>
      <c r="D22" s="21" t="s">
        <v>86</v>
      </c>
    </row>
    <row r="23" customFormat="false" ht="15" hidden="false" customHeight="false" outlineLevel="0" collapsed="false">
      <c r="A23" s="21" t="s">
        <v>52</v>
      </c>
      <c r="B23" s="21" t="s">
        <v>107</v>
      </c>
      <c r="C23" s="21" t="s">
        <v>107</v>
      </c>
      <c r="D23" s="21" t="s">
        <v>86</v>
      </c>
    </row>
    <row r="24" customFormat="false" ht="15" hidden="false" customHeight="false" outlineLevel="0" collapsed="false">
      <c r="A24" s="21" t="s">
        <v>52</v>
      </c>
      <c r="B24" s="21" t="s">
        <v>108</v>
      </c>
      <c r="C24" s="21" t="s">
        <v>108</v>
      </c>
      <c r="D24" s="21" t="s">
        <v>86</v>
      </c>
    </row>
    <row r="25" customFormat="false" ht="15" hidden="false" customHeight="false" outlineLevel="0" collapsed="false">
      <c r="A25" s="21" t="s">
        <v>52</v>
      </c>
      <c r="B25" s="21" t="s">
        <v>109</v>
      </c>
      <c r="C25" s="21" t="s">
        <v>109</v>
      </c>
      <c r="D25" s="21" t="s">
        <v>86</v>
      </c>
    </row>
    <row r="26" customFormat="false" ht="15" hidden="false" customHeight="false" outlineLevel="0" collapsed="false">
      <c r="A26" s="21" t="s">
        <v>52</v>
      </c>
      <c r="B26" s="21" t="s">
        <v>110</v>
      </c>
      <c r="C26" s="21" t="s">
        <v>110</v>
      </c>
      <c r="D26" s="21" t="s">
        <v>86</v>
      </c>
    </row>
    <row r="27" customFormat="false" ht="15" hidden="false" customHeight="false" outlineLevel="0" collapsed="false">
      <c r="A27" s="21" t="s">
        <v>52</v>
      </c>
      <c r="B27" s="21" t="s">
        <v>111</v>
      </c>
      <c r="C27" s="21" t="s">
        <v>111</v>
      </c>
      <c r="D27" s="21" t="s">
        <v>86</v>
      </c>
    </row>
    <row r="28" customFormat="false" ht="15" hidden="false" customHeight="false" outlineLevel="0" collapsed="false">
      <c r="A28" s="21" t="s">
        <v>52</v>
      </c>
      <c r="B28" s="21" t="s">
        <v>112</v>
      </c>
      <c r="C28" s="21" t="s">
        <v>112</v>
      </c>
      <c r="D28" s="21" t="s">
        <v>86</v>
      </c>
    </row>
    <row r="29" customFormat="false" ht="15" hidden="false" customHeight="false" outlineLevel="0" collapsed="false">
      <c r="A29" s="21" t="s">
        <v>52</v>
      </c>
      <c r="B29" s="21" t="s">
        <v>113</v>
      </c>
      <c r="C29" s="21" t="s">
        <v>113</v>
      </c>
      <c r="D29" s="21" t="s">
        <v>86</v>
      </c>
    </row>
    <row r="30" customFormat="false" ht="15" hidden="false" customHeight="false" outlineLevel="0" collapsed="false">
      <c r="A30" s="21" t="s">
        <v>52</v>
      </c>
      <c r="B30" s="21" t="s">
        <v>114</v>
      </c>
      <c r="C30" s="21" t="s">
        <v>114</v>
      </c>
      <c r="D30" s="21" t="s">
        <v>86</v>
      </c>
    </row>
    <row r="31" customFormat="false" ht="15" hidden="false" customHeight="false" outlineLevel="0" collapsed="false">
      <c r="A31" s="21" t="s">
        <v>52</v>
      </c>
      <c r="B31" s="21" t="s">
        <v>115</v>
      </c>
      <c r="C31" s="21" t="s">
        <v>115</v>
      </c>
      <c r="D31" s="21" t="s">
        <v>86</v>
      </c>
    </row>
    <row r="32" customFormat="false" ht="15" hidden="false" customHeight="false" outlineLevel="0" collapsed="false">
      <c r="A32" s="21" t="s">
        <v>52</v>
      </c>
      <c r="B32" s="21" t="s">
        <v>116</v>
      </c>
      <c r="C32" s="21" t="s">
        <v>116</v>
      </c>
      <c r="D32" s="21" t="s">
        <v>86</v>
      </c>
    </row>
    <row r="33" customFormat="false" ht="15" hidden="false" customHeight="false" outlineLevel="0" collapsed="false">
      <c r="A33" s="21" t="s">
        <v>52</v>
      </c>
      <c r="B33" s="21" t="s">
        <v>117</v>
      </c>
      <c r="C33" s="21" t="s">
        <v>117</v>
      </c>
      <c r="D33" s="21" t="s">
        <v>86</v>
      </c>
    </row>
    <row r="34" customFormat="false" ht="15" hidden="false" customHeight="false" outlineLevel="0" collapsed="false">
      <c r="A34" s="21" t="s">
        <v>52</v>
      </c>
      <c r="B34" s="21" t="s">
        <v>118</v>
      </c>
      <c r="C34" s="21" t="s">
        <v>118</v>
      </c>
      <c r="D34" s="21" t="s">
        <v>86</v>
      </c>
    </row>
    <row r="35" customFormat="false" ht="15" hidden="false" customHeight="false" outlineLevel="0" collapsed="false">
      <c r="A35" s="21" t="s">
        <v>52</v>
      </c>
      <c r="B35" s="21" t="s">
        <v>119</v>
      </c>
      <c r="C35" s="21" t="s">
        <v>119</v>
      </c>
      <c r="D35" s="21" t="s">
        <v>86</v>
      </c>
    </row>
    <row r="36" customFormat="false" ht="15" hidden="false" customHeight="false" outlineLevel="0" collapsed="false">
      <c r="A36" s="21" t="s">
        <v>52</v>
      </c>
      <c r="B36" s="21" t="s">
        <v>120</v>
      </c>
      <c r="C36" s="21" t="s">
        <v>120</v>
      </c>
      <c r="D36" s="21" t="s">
        <v>86</v>
      </c>
    </row>
    <row r="37" customFormat="false" ht="15" hidden="false" customHeight="false" outlineLevel="0" collapsed="false">
      <c r="A37" s="21" t="s">
        <v>52</v>
      </c>
      <c r="B37" s="21" t="s">
        <v>121</v>
      </c>
      <c r="C37" s="21" t="s">
        <v>121</v>
      </c>
      <c r="D37" s="21" t="s">
        <v>86</v>
      </c>
    </row>
    <row r="38" customFormat="false" ht="15" hidden="false" customHeight="false" outlineLevel="0" collapsed="false">
      <c r="A38" s="21" t="s">
        <v>52</v>
      </c>
      <c r="B38" s="21" t="s">
        <v>122</v>
      </c>
      <c r="C38" s="21" t="s">
        <v>122</v>
      </c>
      <c r="D38" s="21" t="s">
        <v>86</v>
      </c>
    </row>
    <row r="39" customFormat="false" ht="15" hidden="false" customHeight="false" outlineLevel="0" collapsed="false">
      <c r="A39" s="21" t="s">
        <v>52</v>
      </c>
      <c r="B39" s="21" t="s">
        <v>123</v>
      </c>
      <c r="C39" s="21" t="s">
        <v>123</v>
      </c>
      <c r="D39" s="21" t="s">
        <v>86</v>
      </c>
    </row>
    <row r="40" customFormat="false" ht="15" hidden="false" customHeight="false" outlineLevel="0" collapsed="false">
      <c r="A40" s="21" t="s">
        <v>52</v>
      </c>
      <c r="B40" s="21" t="s">
        <v>124</v>
      </c>
      <c r="C40" s="21" t="s">
        <v>124</v>
      </c>
      <c r="D40" s="21" t="s">
        <v>86</v>
      </c>
    </row>
    <row r="41" customFormat="false" ht="15" hidden="false" customHeight="false" outlineLevel="0" collapsed="false">
      <c r="A41" s="21" t="s">
        <v>52</v>
      </c>
      <c r="B41" s="21" t="s">
        <v>125</v>
      </c>
      <c r="C41" s="21" t="s">
        <v>125</v>
      </c>
      <c r="D41" s="21" t="s">
        <v>86</v>
      </c>
    </row>
    <row r="42" customFormat="false" ht="15" hidden="false" customHeight="false" outlineLevel="0" collapsed="false">
      <c r="A42" s="21" t="s">
        <v>52</v>
      </c>
      <c r="B42" s="21" t="s">
        <v>126</v>
      </c>
      <c r="C42" s="21" t="s">
        <v>126</v>
      </c>
      <c r="D42" s="21" t="s">
        <v>86</v>
      </c>
    </row>
    <row r="43" customFormat="false" ht="15" hidden="false" customHeight="false" outlineLevel="0" collapsed="false">
      <c r="A43" s="21" t="s">
        <v>52</v>
      </c>
      <c r="B43" s="21" t="s">
        <v>127</v>
      </c>
      <c r="C43" s="21" t="s">
        <v>127</v>
      </c>
      <c r="D43" s="21" t="s">
        <v>86</v>
      </c>
    </row>
    <row r="44" customFormat="false" ht="15" hidden="false" customHeight="false" outlineLevel="0" collapsed="false">
      <c r="A44" s="21" t="s">
        <v>52</v>
      </c>
      <c r="B44" s="21" t="s">
        <v>128</v>
      </c>
      <c r="C44" s="21" t="s">
        <v>128</v>
      </c>
      <c r="D44" s="21" t="s">
        <v>86</v>
      </c>
    </row>
    <row r="45" customFormat="false" ht="15" hidden="false" customHeight="false" outlineLevel="0" collapsed="false">
      <c r="A45" s="21" t="s">
        <v>52</v>
      </c>
      <c r="B45" s="21" t="s">
        <v>129</v>
      </c>
      <c r="C45" s="21" t="s">
        <v>129</v>
      </c>
      <c r="D45" s="21" t="s">
        <v>86</v>
      </c>
    </row>
    <row r="46" customFormat="false" ht="15" hidden="false" customHeight="false" outlineLevel="0" collapsed="false">
      <c r="A46" s="21" t="s">
        <v>52</v>
      </c>
      <c r="B46" s="21" t="s">
        <v>130</v>
      </c>
      <c r="C46" s="21" t="s">
        <v>130</v>
      </c>
      <c r="D46" s="21" t="s">
        <v>86</v>
      </c>
    </row>
    <row r="47" customFormat="false" ht="15" hidden="false" customHeight="false" outlineLevel="0" collapsed="false">
      <c r="A47" s="21" t="s">
        <v>52</v>
      </c>
      <c r="B47" s="21" t="s">
        <v>131</v>
      </c>
      <c r="C47" s="21" t="s">
        <v>131</v>
      </c>
      <c r="D47" s="21" t="s">
        <v>86</v>
      </c>
    </row>
    <row r="48" customFormat="false" ht="15" hidden="false" customHeight="false" outlineLevel="0" collapsed="false">
      <c r="A48" s="21" t="s">
        <v>52</v>
      </c>
      <c r="B48" s="21" t="s">
        <v>132</v>
      </c>
      <c r="C48" s="21" t="s">
        <v>132</v>
      </c>
      <c r="D48" s="21" t="s">
        <v>86</v>
      </c>
    </row>
    <row r="49" customFormat="false" ht="15" hidden="false" customHeight="false" outlineLevel="0" collapsed="false">
      <c r="A49" s="21" t="s">
        <v>52</v>
      </c>
      <c r="B49" s="21" t="s">
        <v>133</v>
      </c>
      <c r="C49" s="21" t="s">
        <v>133</v>
      </c>
      <c r="D49" s="21" t="s">
        <v>86</v>
      </c>
    </row>
    <row r="50" customFormat="false" ht="15" hidden="false" customHeight="false" outlineLevel="0" collapsed="false">
      <c r="A50" s="21" t="s">
        <v>52</v>
      </c>
      <c r="B50" s="21" t="s">
        <v>134</v>
      </c>
      <c r="C50" s="21" t="s">
        <v>134</v>
      </c>
      <c r="D50" s="21" t="s">
        <v>86</v>
      </c>
    </row>
    <row r="51" customFormat="false" ht="15" hidden="false" customHeight="false" outlineLevel="0" collapsed="false">
      <c r="A51" s="21" t="s">
        <v>52</v>
      </c>
      <c r="B51" s="21" t="s">
        <v>135</v>
      </c>
      <c r="C51" s="21" t="s">
        <v>135</v>
      </c>
      <c r="D51" s="21" t="s">
        <v>86</v>
      </c>
    </row>
    <row r="52" customFormat="false" ht="15" hidden="false" customHeight="false" outlineLevel="0" collapsed="false">
      <c r="A52" s="21" t="s">
        <v>52</v>
      </c>
      <c r="B52" s="21" t="s">
        <v>136</v>
      </c>
      <c r="C52" s="21"/>
      <c r="D52" s="21" t="s">
        <v>50</v>
      </c>
    </row>
    <row r="53" customFormat="false" ht="15" hidden="false" customHeight="false" outlineLevel="0" collapsed="false">
      <c r="A53" s="21" t="s">
        <v>52</v>
      </c>
      <c r="B53" s="21" t="s">
        <v>137</v>
      </c>
      <c r="C53" s="21"/>
      <c r="D53" s="21" t="s">
        <v>50</v>
      </c>
    </row>
    <row r="54" customFormat="false" ht="15" hidden="false" customHeight="false" outlineLevel="0" collapsed="false">
      <c r="A54" s="21" t="s">
        <v>52</v>
      </c>
      <c r="B54" s="21" t="s">
        <v>138</v>
      </c>
      <c r="C54" s="21"/>
      <c r="D54" s="21" t="s">
        <v>50</v>
      </c>
    </row>
    <row r="55" customFormat="false" ht="15" hidden="false" customHeight="false" outlineLevel="0" collapsed="false">
      <c r="A55" s="21" t="s">
        <v>52</v>
      </c>
      <c r="B55" s="21" t="s">
        <v>139</v>
      </c>
      <c r="C55" s="21"/>
      <c r="D55" s="21" t="s">
        <v>50</v>
      </c>
    </row>
    <row r="56" customFormat="false" ht="15" hidden="false" customHeight="false" outlineLevel="0" collapsed="false">
      <c r="A56" s="21" t="s">
        <v>52</v>
      </c>
      <c r="B56" s="21"/>
      <c r="C56" s="21" t="s">
        <v>140</v>
      </c>
      <c r="D56" s="21" t="s">
        <v>49</v>
      </c>
    </row>
    <row r="57" customFormat="false" ht="15" hidden="false" customHeight="false" outlineLevel="0" collapsed="false">
      <c r="A57" s="21" t="s">
        <v>52</v>
      </c>
      <c r="B57" s="21"/>
      <c r="C57" s="21" t="s">
        <v>141</v>
      </c>
      <c r="D57" s="21" t="s">
        <v>49</v>
      </c>
    </row>
    <row r="58" customFormat="false" ht="15" hidden="false" customHeight="false" outlineLevel="0" collapsed="false">
      <c r="A58" s="21" t="s">
        <v>52</v>
      </c>
      <c r="B58" s="21"/>
      <c r="C58" s="21" t="s">
        <v>142</v>
      </c>
      <c r="D58" s="21" t="s">
        <v>49</v>
      </c>
    </row>
    <row r="59" customFormat="false" ht="15" hidden="false" customHeight="false" outlineLevel="0" collapsed="false">
      <c r="A59" s="21" t="s">
        <v>52</v>
      </c>
      <c r="B59" s="21"/>
      <c r="C59" s="21" t="s">
        <v>143</v>
      </c>
      <c r="D59" s="21" t="s">
        <v>49</v>
      </c>
    </row>
    <row r="60" customFormat="false" ht="15" hidden="false" customHeight="false" outlineLevel="0" collapsed="false">
      <c r="A60" s="21" t="s">
        <v>52</v>
      </c>
      <c r="B60" s="21"/>
      <c r="C60" s="21" t="s">
        <v>144</v>
      </c>
      <c r="D60" s="21" t="s">
        <v>49</v>
      </c>
    </row>
    <row r="61" customFormat="false" ht="15" hidden="false" customHeight="false" outlineLevel="0" collapsed="false">
      <c r="A61" s="21" t="s">
        <v>55</v>
      </c>
      <c r="B61" s="21" t="s">
        <v>145</v>
      </c>
      <c r="C61" s="21" t="s">
        <v>145</v>
      </c>
      <c r="D61" s="21" t="s">
        <v>86</v>
      </c>
    </row>
    <row r="62" customFormat="false" ht="15" hidden="false" customHeight="false" outlineLevel="0" collapsed="false">
      <c r="A62" s="21" t="s">
        <v>55</v>
      </c>
      <c r="B62" s="21" t="s">
        <v>146</v>
      </c>
      <c r="C62" s="21" t="s">
        <v>146</v>
      </c>
      <c r="D62" s="21" t="s">
        <v>86</v>
      </c>
    </row>
    <row r="63" customFormat="false" ht="15" hidden="false" customHeight="false" outlineLevel="0" collapsed="false">
      <c r="A63" s="21" t="s">
        <v>55</v>
      </c>
      <c r="B63" s="21" t="s">
        <v>147</v>
      </c>
      <c r="C63" s="21" t="s">
        <v>147</v>
      </c>
      <c r="D63" s="21" t="s">
        <v>86</v>
      </c>
    </row>
    <row r="64" customFormat="false" ht="15" hidden="false" customHeight="false" outlineLevel="0" collapsed="false">
      <c r="A64" s="21" t="s">
        <v>57</v>
      </c>
      <c r="B64" s="21" t="s">
        <v>58</v>
      </c>
      <c r="C64" s="21" t="s">
        <v>58</v>
      </c>
      <c r="D64" s="21" t="s">
        <v>86</v>
      </c>
    </row>
    <row r="65" customFormat="false" ht="15" hidden="false" customHeight="false" outlineLevel="0" collapsed="false">
      <c r="A65" s="21" t="s">
        <v>60</v>
      </c>
      <c r="B65" s="21" t="s">
        <v>148</v>
      </c>
      <c r="C65" s="21" t="s">
        <v>148</v>
      </c>
      <c r="D65" s="21" t="s">
        <v>86</v>
      </c>
    </row>
    <row r="66" customFormat="false" ht="15" hidden="false" customHeight="false" outlineLevel="0" collapsed="false">
      <c r="A66" s="21" t="s">
        <v>60</v>
      </c>
      <c r="B66" s="21" t="s">
        <v>149</v>
      </c>
      <c r="C66" s="21" t="s">
        <v>149</v>
      </c>
      <c r="D66" s="21" t="s">
        <v>86</v>
      </c>
    </row>
    <row r="67" customFormat="false" ht="15" hidden="false" customHeight="false" outlineLevel="0" collapsed="false">
      <c r="A67" s="21" t="s">
        <v>60</v>
      </c>
      <c r="B67" s="21" t="s">
        <v>150</v>
      </c>
      <c r="C67" s="21" t="s">
        <v>150</v>
      </c>
      <c r="D67" s="21" t="s">
        <v>86</v>
      </c>
    </row>
    <row r="68" customFormat="false" ht="15" hidden="false" customHeight="false" outlineLevel="0" collapsed="false">
      <c r="A68" s="21" t="s">
        <v>60</v>
      </c>
      <c r="B68" s="21" t="s">
        <v>151</v>
      </c>
      <c r="C68" s="21" t="s">
        <v>151</v>
      </c>
      <c r="D68" s="21" t="s">
        <v>86</v>
      </c>
    </row>
    <row r="69" customFormat="false" ht="15" hidden="false" customHeight="false" outlineLevel="0" collapsed="false">
      <c r="A69" s="21" t="s">
        <v>62</v>
      </c>
      <c r="B69" s="21" t="s">
        <v>63</v>
      </c>
      <c r="C69" s="21" t="s">
        <v>63</v>
      </c>
      <c r="D69" s="21" t="s">
        <v>86</v>
      </c>
    </row>
    <row r="70" customFormat="false" ht="15" hidden="false" customHeight="false" outlineLevel="0" collapsed="false">
      <c r="A70" s="21" t="s">
        <v>64</v>
      </c>
      <c r="B70" s="21" t="s">
        <v>152</v>
      </c>
      <c r="C70" s="21" t="s">
        <v>152</v>
      </c>
      <c r="D70" s="21" t="s">
        <v>86</v>
      </c>
    </row>
    <row r="71" customFormat="false" ht="15" hidden="false" customHeight="false" outlineLevel="0" collapsed="false">
      <c r="A71" s="21" t="s">
        <v>64</v>
      </c>
      <c r="B71" s="21" t="s">
        <v>153</v>
      </c>
      <c r="C71" s="21" t="s">
        <v>153</v>
      </c>
      <c r="D71" s="21" t="s">
        <v>86</v>
      </c>
    </row>
    <row r="72" customFormat="false" ht="15" hidden="false" customHeight="false" outlineLevel="0" collapsed="false">
      <c r="A72" s="21" t="s">
        <v>64</v>
      </c>
      <c r="B72" s="21" t="s">
        <v>154</v>
      </c>
      <c r="C72" s="21" t="s">
        <v>154</v>
      </c>
      <c r="D72" s="21" t="s">
        <v>86</v>
      </c>
    </row>
    <row r="73" customFormat="false" ht="15" hidden="false" customHeight="false" outlineLevel="0" collapsed="false">
      <c r="A73" s="21" t="s">
        <v>64</v>
      </c>
      <c r="B73" s="21" t="s">
        <v>155</v>
      </c>
      <c r="C73" s="21" t="s">
        <v>155</v>
      </c>
      <c r="D73" s="21" t="s">
        <v>86</v>
      </c>
    </row>
    <row r="74" customFormat="false" ht="15" hidden="false" customHeight="false" outlineLevel="0" collapsed="false">
      <c r="A74" s="21" t="s">
        <v>64</v>
      </c>
      <c r="B74" s="21" t="s">
        <v>156</v>
      </c>
      <c r="C74" s="21" t="s">
        <v>156</v>
      </c>
      <c r="D74" s="21" t="s">
        <v>86</v>
      </c>
    </row>
    <row r="75" customFormat="false" ht="15" hidden="false" customHeight="false" outlineLevel="0" collapsed="false">
      <c r="A75" s="21" t="s">
        <v>64</v>
      </c>
      <c r="B75" s="21" t="s">
        <v>157</v>
      </c>
      <c r="C75" s="21" t="s">
        <v>157</v>
      </c>
      <c r="D75" s="21" t="s">
        <v>86</v>
      </c>
    </row>
    <row r="76" customFormat="false" ht="15" hidden="false" customHeight="false" outlineLevel="0" collapsed="false">
      <c r="A76" s="21" t="s">
        <v>64</v>
      </c>
      <c r="B76" s="21" t="s">
        <v>158</v>
      </c>
      <c r="C76" s="21" t="s">
        <v>158</v>
      </c>
      <c r="D76" s="21" t="s">
        <v>86</v>
      </c>
    </row>
    <row r="77" customFormat="false" ht="15" hidden="false" customHeight="false" outlineLevel="0" collapsed="false">
      <c r="A77" s="21" t="s">
        <v>64</v>
      </c>
      <c r="B77" s="21" t="s">
        <v>159</v>
      </c>
      <c r="C77" s="21" t="s">
        <v>159</v>
      </c>
      <c r="D77" s="21" t="s">
        <v>86</v>
      </c>
    </row>
    <row r="78" customFormat="false" ht="15" hidden="false" customHeight="false" outlineLevel="0" collapsed="false">
      <c r="A78" s="21" t="s">
        <v>64</v>
      </c>
      <c r="B78" s="21" t="s">
        <v>160</v>
      </c>
      <c r="C78" s="21" t="s">
        <v>160</v>
      </c>
      <c r="D78" s="21" t="s">
        <v>86</v>
      </c>
    </row>
    <row r="79" customFormat="false" ht="15" hidden="false" customHeight="false" outlineLevel="0" collapsed="false">
      <c r="A79" s="21" t="s">
        <v>64</v>
      </c>
      <c r="B79" s="21" t="s">
        <v>161</v>
      </c>
      <c r="C79" s="21" t="s">
        <v>161</v>
      </c>
      <c r="D79" s="21" t="s">
        <v>86</v>
      </c>
    </row>
    <row r="80" customFormat="false" ht="15" hidden="false" customHeight="false" outlineLevel="0" collapsed="false">
      <c r="A80" s="21" t="s">
        <v>64</v>
      </c>
      <c r="B80" s="21" t="s">
        <v>162</v>
      </c>
      <c r="C80" s="21" t="s">
        <v>162</v>
      </c>
      <c r="D80" s="21" t="s">
        <v>86</v>
      </c>
    </row>
    <row r="81" customFormat="false" ht="15" hidden="false" customHeight="false" outlineLevel="0" collapsed="false">
      <c r="A81" s="21" t="s">
        <v>64</v>
      </c>
      <c r="B81" s="21" t="s">
        <v>163</v>
      </c>
      <c r="C81" s="21" t="s">
        <v>163</v>
      </c>
      <c r="D81" s="21" t="s">
        <v>86</v>
      </c>
    </row>
    <row r="82" customFormat="false" ht="15" hidden="false" customHeight="false" outlineLevel="0" collapsed="false">
      <c r="A82" s="21" t="s">
        <v>64</v>
      </c>
      <c r="B82" s="21" t="s">
        <v>164</v>
      </c>
      <c r="C82" s="21" t="s">
        <v>164</v>
      </c>
      <c r="D82" s="21" t="s">
        <v>86</v>
      </c>
    </row>
    <row r="83" customFormat="false" ht="15" hidden="false" customHeight="false" outlineLevel="0" collapsed="false">
      <c r="A83" s="21" t="s">
        <v>64</v>
      </c>
      <c r="B83" s="21" t="s">
        <v>165</v>
      </c>
      <c r="C83" s="21" t="s">
        <v>165</v>
      </c>
      <c r="D83" s="21" t="s">
        <v>86</v>
      </c>
    </row>
    <row r="84" customFormat="false" ht="15" hidden="false" customHeight="false" outlineLevel="0" collapsed="false">
      <c r="A84" s="21" t="s">
        <v>64</v>
      </c>
      <c r="B84" s="21" t="s">
        <v>166</v>
      </c>
      <c r="C84" s="21" t="s">
        <v>166</v>
      </c>
      <c r="D84" s="21" t="s">
        <v>86</v>
      </c>
    </row>
    <row r="85" customFormat="false" ht="15" hidden="false" customHeight="false" outlineLevel="0" collapsed="false">
      <c r="A85" s="21" t="s">
        <v>64</v>
      </c>
      <c r="B85" s="21" t="s">
        <v>167</v>
      </c>
      <c r="C85" s="21" t="s">
        <v>167</v>
      </c>
      <c r="D85" s="21" t="s">
        <v>86</v>
      </c>
    </row>
    <row r="86" customFormat="false" ht="15" hidden="false" customHeight="false" outlineLevel="0" collapsed="false">
      <c r="A86" s="21" t="s">
        <v>64</v>
      </c>
      <c r="B86" s="21" t="s">
        <v>168</v>
      </c>
      <c r="C86" s="21" t="s">
        <v>168</v>
      </c>
      <c r="D86" s="21" t="s">
        <v>86</v>
      </c>
    </row>
    <row r="87" customFormat="false" ht="15" hidden="false" customHeight="false" outlineLevel="0" collapsed="false">
      <c r="A87" s="21" t="s">
        <v>64</v>
      </c>
      <c r="B87" s="21"/>
      <c r="C87" s="21" t="s">
        <v>169</v>
      </c>
      <c r="D87" s="21" t="s">
        <v>49</v>
      </c>
    </row>
    <row r="88" customFormat="false" ht="15" hidden="false" customHeight="false" outlineLevel="0" collapsed="false">
      <c r="A88" s="21" t="s">
        <v>64</v>
      </c>
      <c r="B88" s="21"/>
      <c r="C88" s="21" t="s">
        <v>170</v>
      </c>
      <c r="D88" s="21" t="s">
        <v>49</v>
      </c>
    </row>
    <row r="89" customFormat="false" ht="15" hidden="false" customHeight="false" outlineLevel="0" collapsed="false">
      <c r="A89" s="21" t="s">
        <v>66</v>
      </c>
      <c r="B89" s="21" t="s">
        <v>171</v>
      </c>
      <c r="C89" s="21" t="s">
        <v>171</v>
      </c>
      <c r="D89" s="21" t="s">
        <v>86</v>
      </c>
    </row>
    <row r="90" customFormat="false" ht="15" hidden="false" customHeight="false" outlineLevel="0" collapsed="false">
      <c r="A90" s="21" t="s">
        <v>66</v>
      </c>
      <c r="B90" s="21" t="s">
        <v>172</v>
      </c>
      <c r="C90" s="21" t="s">
        <v>173</v>
      </c>
      <c r="D90" s="21" t="s">
        <v>174</v>
      </c>
    </row>
    <row r="91" customFormat="false" ht="15" hidden="false" customHeight="false" outlineLevel="0" collapsed="false">
      <c r="A91" s="21" t="s">
        <v>66</v>
      </c>
      <c r="B91" s="21" t="s">
        <v>175</v>
      </c>
      <c r="C91" s="21" t="s">
        <v>176</v>
      </c>
      <c r="D91" s="21" t="s">
        <v>174</v>
      </c>
    </row>
    <row r="92" customFormat="false" ht="15" hidden="false" customHeight="false" outlineLevel="0" collapsed="false">
      <c r="A92" s="21" t="s">
        <v>66</v>
      </c>
      <c r="B92" s="21" t="s">
        <v>177</v>
      </c>
      <c r="C92" s="21" t="s">
        <v>178</v>
      </c>
      <c r="D92" s="21" t="s">
        <v>174</v>
      </c>
    </row>
    <row r="93" customFormat="false" ht="15" hidden="false" customHeight="false" outlineLevel="0" collapsed="false">
      <c r="A93" s="21" t="s">
        <v>66</v>
      </c>
      <c r="B93" s="21" t="s">
        <v>179</v>
      </c>
      <c r="C93" s="21" t="s">
        <v>180</v>
      </c>
      <c r="D93" s="21" t="s">
        <v>174</v>
      </c>
    </row>
    <row r="94" customFormat="false" ht="15" hidden="false" customHeight="false" outlineLevel="0" collapsed="false">
      <c r="A94" s="21" t="s">
        <v>66</v>
      </c>
      <c r="B94" s="21" t="s">
        <v>181</v>
      </c>
      <c r="C94" s="21" t="s">
        <v>182</v>
      </c>
      <c r="D94" s="21" t="s">
        <v>174</v>
      </c>
    </row>
    <row r="95" customFormat="false" ht="15" hidden="false" customHeight="false" outlineLevel="0" collapsed="false">
      <c r="A95" s="21" t="s">
        <v>66</v>
      </c>
      <c r="B95" s="21" t="s">
        <v>183</v>
      </c>
      <c r="C95" s="21"/>
      <c r="D95" s="21" t="s">
        <v>50</v>
      </c>
    </row>
    <row r="96" customFormat="false" ht="15" hidden="false" customHeight="false" outlineLevel="0" collapsed="false">
      <c r="A96" s="21" t="s">
        <v>66</v>
      </c>
      <c r="B96" s="21" t="s">
        <v>184</v>
      </c>
      <c r="C96" s="21"/>
      <c r="D96" s="21" t="s">
        <v>50</v>
      </c>
    </row>
    <row r="97" customFormat="false" ht="15" hidden="false" customHeight="false" outlineLevel="0" collapsed="false">
      <c r="A97" s="21" t="s">
        <v>66</v>
      </c>
      <c r="B97" s="21" t="s">
        <v>185</v>
      </c>
      <c r="C97" s="21"/>
      <c r="D97" s="21" t="s">
        <v>50</v>
      </c>
    </row>
    <row r="98" customFormat="false" ht="15" hidden="false" customHeight="false" outlineLevel="0" collapsed="false">
      <c r="A98" s="21" t="s">
        <v>66</v>
      </c>
      <c r="B98" s="21" t="s">
        <v>186</v>
      </c>
      <c r="C98" s="21"/>
      <c r="D98" s="21" t="s">
        <v>50</v>
      </c>
    </row>
    <row r="99" customFormat="false" ht="15" hidden="false" customHeight="false" outlineLevel="0" collapsed="false">
      <c r="A99" s="21" t="s">
        <v>66</v>
      </c>
      <c r="B99" s="21" t="s">
        <v>187</v>
      </c>
      <c r="C99" s="21"/>
      <c r="D99" s="21" t="s">
        <v>50</v>
      </c>
    </row>
    <row r="100" customFormat="false" ht="15" hidden="false" customHeight="false" outlineLevel="0" collapsed="false">
      <c r="A100" s="21" t="s">
        <v>66</v>
      </c>
      <c r="B100" s="21" t="s">
        <v>188</v>
      </c>
      <c r="C100" s="21"/>
      <c r="D100" s="21" t="s">
        <v>50</v>
      </c>
    </row>
    <row r="101" customFormat="false" ht="15" hidden="false" customHeight="false" outlineLevel="0" collapsed="false">
      <c r="A101" s="21" t="s">
        <v>66</v>
      </c>
      <c r="B101" s="21" t="s">
        <v>189</v>
      </c>
      <c r="C101" s="21"/>
      <c r="D101" s="21" t="s">
        <v>50</v>
      </c>
    </row>
    <row r="102" customFormat="false" ht="15" hidden="false" customHeight="false" outlineLevel="0" collapsed="false">
      <c r="A102" s="21" t="s">
        <v>66</v>
      </c>
      <c r="B102" s="21" t="s">
        <v>190</v>
      </c>
      <c r="C102" s="21"/>
      <c r="D102" s="21" t="s">
        <v>50</v>
      </c>
    </row>
    <row r="103" customFormat="false" ht="15" hidden="false" customHeight="false" outlineLevel="0" collapsed="false">
      <c r="A103" s="21" t="s">
        <v>66</v>
      </c>
      <c r="B103" s="21" t="s">
        <v>191</v>
      </c>
      <c r="C103" s="21"/>
      <c r="D103" s="21" t="s">
        <v>50</v>
      </c>
    </row>
    <row r="104" customFormat="false" ht="15" hidden="false" customHeight="false" outlineLevel="0" collapsed="false">
      <c r="A104" s="21" t="s">
        <v>66</v>
      </c>
      <c r="B104" s="21" t="s">
        <v>192</v>
      </c>
      <c r="C104" s="21"/>
      <c r="D104" s="21" t="s">
        <v>50</v>
      </c>
    </row>
    <row r="105" customFormat="false" ht="15" hidden="false" customHeight="false" outlineLevel="0" collapsed="false">
      <c r="A105" s="21" t="s">
        <v>66</v>
      </c>
      <c r="B105" s="21" t="s">
        <v>193</v>
      </c>
      <c r="C105" s="21"/>
      <c r="D105" s="21" t="s">
        <v>50</v>
      </c>
    </row>
    <row r="106" customFormat="false" ht="15" hidden="false" customHeight="false" outlineLevel="0" collapsed="false">
      <c r="A106" s="21" t="s">
        <v>68</v>
      </c>
      <c r="B106" s="21" t="s">
        <v>194</v>
      </c>
      <c r="C106" s="21" t="s">
        <v>194</v>
      </c>
      <c r="D106" s="21" t="s">
        <v>86</v>
      </c>
    </row>
    <row r="107" customFormat="false" ht="15" hidden="false" customHeight="false" outlineLevel="0" collapsed="false">
      <c r="A107" s="21" t="s">
        <v>68</v>
      </c>
      <c r="B107" s="21" t="s">
        <v>195</v>
      </c>
      <c r="C107" s="21" t="s">
        <v>196</v>
      </c>
      <c r="D107" s="21" t="s">
        <v>174</v>
      </c>
    </row>
    <row r="108" customFormat="false" ht="15" hidden="false" customHeight="false" outlineLevel="0" collapsed="false">
      <c r="A108" s="21" t="s">
        <v>68</v>
      </c>
      <c r="B108" s="21" t="s">
        <v>197</v>
      </c>
      <c r="C108" s="21" t="s">
        <v>197</v>
      </c>
      <c r="D108" s="21" t="s">
        <v>86</v>
      </c>
    </row>
    <row r="109" customFormat="false" ht="15" hidden="false" customHeight="false" outlineLevel="0" collapsed="false">
      <c r="A109" s="21" t="s">
        <v>68</v>
      </c>
      <c r="B109" s="21" t="s">
        <v>198</v>
      </c>
      <c r="C109" s="21" t="s">
        <v>198</v>
      </c>
      <c r="D109" s="21" t="s">
        <v>86</v>
      </c>
    </row>
    <row r="110" customFormat="false" ht="15" hidden="false" customHeight="false" outlineLevel="0" collapsed="false">
      <c r="A110" s="21" t="s">
        <v>68</v>
      </c>
      <c r="B110" s="21" t="s">
        <v>199</v>
      </c>
      <c r="C110" s="21" t="s">
        <v>199</v>
      </c>
      <c r="D110" s="21" t="s">
        <v>86</v>
      </c>
    </row>
    <row r="111" customFormat="false" ht="15" hidden="false" customHeight="false" outlineLevel="0" collapsed="false">
      <c r="A111" s="21" t="s">
        <v>68</v>
      </c>
      <c r="B111" s="21" t="s">
        <v>200</v>
      </c>
      <c r="C111" s="21" t="s">
        <v>200</v>
      </c>
      <c r="D111" s="21" t="s">
        <v>86</v>
      </c>
    </row>
    <row r="112" customFormat="false" ht="15" hidden="false" customHeight="false" outlineLevel="0" collapsed="false">
      <c r="A112" s="21" t="s">
        <v>68</v>
      </c>
      <c r="B112" s="21" t="s">
        <v>201</v>
      </c>
      <c r="C112" s="21" t="s">
        <v>201</v>
      </c>
      <c r="D112" s="21" t="s">
        <v>86</v>
      </c>
    </row>
    <row r="113" customFormat="false" ht="15" hidden="false" customHeight="false" outlineLevel="0" collapsed="false">
      <c r="A113" s="21" t="s">
        <v>68</v>
      </c>
      <c r="B113" s="21" t="s">
        <v>202</v>
      </c>
      <c r="C113" s="21" t="s">
        <v>202</v>
      </c>
      <c r="D113" s="21" t="s">
        <v>86</v>
      </c>
    </row>
    <row r="114" customFormat="false" ht="15" hidden="false" customHeight="false" outlineLevel="0" collapsed="false">
      <c r="A114" s="21" t="s">
        <v>68</v>
      </c>
      <c r="B114" s="21" t="s">
        <v>203</v>
      </c>
      <c r="C114" s="21" t="s">
        <v>203</v>
      </c>
      <c r="D114" s="21" t="s">
        <v>86</v>
      </c>
    </row>
    <row r="115" customFormat="false" ht="15" hidden="false" customHeight="false" outlineLevel="0" collapsed="false">
      <c r="A115" s="21" t="s">
        <v>68</v>
      </c>
      <c r="B115" s="21" t="s">
        <v>204</v>
      </c>
      <c r="C115" s="21" t="s">
        <v>205</v>
      </c>
      <c r="D115" s="21" t="s">
        <v>174</v>
      </c>
    </row>
    <row r="116" customFormat="false" ht="15" hidden="false" customHeight="false" outlineLevel="0" collapsed="false">
      <c r="A116" s="21" t="s">
        <v>68</v>
      </c>
      <c r="B116" s="21" t="s">
        <v>206</v>
      </c>
      <c r="C116" s="21" t="s">
        <v>206</v>
      </c>
      <c r="D116" s="21" t="s">
        <v>86</v>
      </c>
    </row>
    <row r="117" customFormat="false" ht="15" hidden="false" customHeight="false" outlineLevel="0" collapsed="false">
      <c r="A117" s="21" t="s">
        <v>68</v>
      </c>
      <c r="B117" s="21" t="s">
        <v>207</v>
      </c>
      <c r="C117" s="21" t="s">
        <v>207</v>
      </c>
      <c r="D117" s="21" t="s">
        <v>86</v>
      </c>
    </row>
    <row r="118" customFormat="false" ht="15" hidden="false" customHeight="false" outlineLevel="0" collapsed="false">
      <c r="A118" s="21" t="s">
        <v>68</v>
      </c>
      <c r="B118" s="21" t="s">
        <v>208</v>
      </c>
      <c r="C118" s="21" t="s">
        <v>208</v>
      </c>
      <c r="D118" s="21" t="s">
        <v>86</v>
      </c>
    </row>
    <row r="119" customFormat="false" ht="15" hidden="false" customHeight="false" outlineLevel="0" collapsed="false">
      <c r="A119" s="21" t="s">
        <v>68</v>
      </c>
      <c r="B119" s="21" t="s">
        <v>209</v>
      </c>
      <c r="C119" s="21" t="s">
        <v>210</v>
      </c>
      <c r="D119" s="21" t="s">
        <v>174</v>
      </c>
    </row>
    <row r="120" customFormat="false" ht="15" hidden="false" customHeight="false" outlineLevel="0" collapsed="false">
      <c r="A120" s="21" t="s">
        <v>68</v>
      </c>
      <c r="B120" s="21" t="s">
        <v>211</v>
      </c>
      <c r="C120" s="21"/>
      <c r="D120" s="21" t="s">
        <v>50</v>
      </c>
    </row>
    <row r="121" customFormat="false" ht="15" hidden="false" customHeight="false" outlineLevel="0" collapsed="false">
      <c r="A121" s="21" t="s">
        <v>68</v>
      </c>
      <c r="B121" s="21" t="s">
        <v>212</v>
      </c>
      <c r="C121" s="21"/>
      <c r="D121" s="21" t="s">
        <v>50</v>
      </c>
    </row>
    <row r="122" customFormat="false" ht="15" hidden="false" customHeight="false" outlineLevel="0" collapsed="false">
      <c r="A122" s="21" t="s">
        <v>68</v>
      </c>
      <c r="B122" s="21" t="s">
        <v>213</v>
      </c>
      <c r="C122" s="21"/>
      <c r="D122" s="21" t="s">
        <v>50</v>
      </c>
    </row>
    <row r="123" customFormat="false" ht="15" hidden="false" customHeight="false" outlineLevel="0" collapsed="false">
      <c r="A123" s="21" t="s">
        <v>68</v>
      </c>
      <c r="B123" s="21" t="s">
        <v>214</v>
      </c>
      <c r="C123" s="21"/>
      <c r="D123" s="21" t="s">
        <v>50</v>
      </c>
    </row>
    <row r="124" customFormat="false" ht="15" hidden="false" customHeight="false" outlineLevel="0" collapsed="false">
      <c r="A124" s="21" t="s">
        <v>68</v>
      </c>
      <c r="B124" s="21" t="s">
        <v>215</v>
      </c>
      <c r="C124" s="21"/>
      <c r="D124" s="21" t="s">
        <v>50</v>
      </c>
    </row>
    <row r="125" customFormat="false" ht="15" hidden="false" customHeight="false" outlineLevel="0" collapsed="false">
      <c r="A125" s="21" t="s">
        <v>68</v>
      </c>
      <c r="B125" s="21" t="s">
        <v>216</v>
      </c>
      <c r="C125" s="21"/>
      <c r="D125" s="21" t="s">
        <v>50</v>
      </c>
    </row>
    <row r="126" customFormat="false" ht="15" hidden="false" customHeight="false" outlineLevel="0" collapsed="false">
      <c r="A126" s="21" t="s">
        <v>68</v>
      </c>
      <c r="B126" s="21" t="s">
        <v>217</v>
      </c>
      <c r="C126" s="21"/>
      <c r="D126" s="21" t="s">
        <v>50</v>
      </c>
    </row>
    <row r="127" customFormat="false" ht="15" hidden="false" customHeight="false" outlineLevel="0" collapsed="false">
      <c r="A127" s="21" t="s">
        <v>68</v>
      </c>
      <c r="B127" s="21"/>
      <c r="C127" s="21" t="s">
        <v>218</v>
      </c>
      <c r="D127" s="21" t="s">
        <v>49</v>
      </c>
    </row>
    <row r="128" customFormat="false" ht="15" hidden="false" customHeight="false" outlineLevel="0" collapsed="false">
      <c r="A128" s="21" t="s">
        <v>68</v>
      </c>
      <c r="B128" s="21"/>
      <c r="C128" s="21" t="s">
        <v>219</v>
      </c>
      <c r="D128" s="21" t="s">
        <v>49</v>
      </c>
    </row>
    <row r="129" customFormat="false" ht="15" hidden="false" customHeight="false" outlineLevel="0" collapsed="false">
      <c r="A129" s="21" t="s">
        <v>68</v>
      </c>
      <c r="B129" s="21"/>
      <c r="C129" s="21" t="s">
        <v>220</v>
      </c>
      <c r="D129" s="21" t="s">
        <v>49</v>
      </c>
    </row>
    <row r="130" customFormat="false" ht="15" hidden="false" customHeight="false" outlineLevel="0" collapsed="false">
      <c r="A130" s="21" t="s">
        <v>70</v>
      </c>
      <c r="B130" s="21" t="s">
        <v>221</v>
      </c>
      <c r="C130" s="21" t="s">
        <v>221</v>
      </c>
      <c r="D130" s="21" t="s">
        <v>86</v>
      </c>
    </row>
    <row r="131" customFormat="false" ht="15" hidden="false" customHeight="false" outlineLevel="0" collapsed="false">
      <c r="A131" s="21" t="s">
        <v>70</v>
      </c>
      <c r="B131" s="21" t="s">
        <v>222</v>
      </c>
      <c r="C131" s="21" t="s">
        <v>222</v>
      </c>
      <c r="D131" s="21" t="s">
        <v>86</v>
      </c>
    </row>
    <row r="132" customFormat="false" ht="15" hidden="false" customHeight="false" outlineLevel="0" collapsed="false">
      <c r="A132" s="21" t="s">
        <v>70</v>
      </c>
      <c r="B132" s="21" t="s">
        <v>223</v>
      </c>
      <c r="C132" s="21" t="s">
        <v>223</v>
      </c>
      <c r="D132" s="21" t="s">
        <v>86</v>
      </c>
    </row>
    <row r="133" customFormat="false" ht="15" hidden="false" customHeight="false" outlineLevel="0" collapsed="false">
      <c r="A133" s="21" t="s">
        <v>72</v>
      </c>
      <c r="B133" s="21" t="s">
        <v>224</v>
      </c>
      <c r="C133" s="21" t="s">
        <v>224</v>
      </c>
      <c r="D133" s="21" t="s">
        <v>86</v>
      </c>
    </row>
    <row r="134" customFormat="false" ht="15" hidden="false" customHeight="false" outlineLevel="0" collapsed="false">
      <c r="A134" s="21" t="s">
        <v>72</v>
      </c>
      <c r="B134" s="21" t="s">
        <v>225</v>
      </c>
      <c r="C134" s="21" t="s">
        <v>225</v>
      </c>
      <c r="D134" s="21" t="s">
        <v>86</v>
      </c>
    </row>
    <row r="135" customFormat="false" ht="15" hidden="false" customHeight="false" outlineLevel="0" collapsed="false">
      <c r="A135" s="21" t="s">
        <v>72</v>
      </c>
      <c r="B135" s="21" t="s">
        <v>226</v>
      </c>
      <c r="C135" s="21" t="s">
        <v>226</v>
      </c>
      <c r="D135" s="21" t="s">
        <v>86</v>
      </c>
    </row>
    <row r="136" customFormat="false" ht="15" hidden="false" customHeight="false" outlineLevel="0" collapsed="false">
      <c r="A136" s="21" t="s">
        <v>72</v>
      </c>
      <c r="B136" s="21" t="s">
        <v>227</v>
      </c>
      <c r="C136" s="21" t="s">
        <v>227</v>
      </c>
      <c r="D136" s="21" t="s">
        <v>86</v>
      </c>
    </row>
    <row r="137" customFormat="false" ht="15" hidden="false" customHeight="false" outlineLevel="0" collapsed="false">
      <c r="A137" s="21" t="s">
        <v>72</v>
      </c>
      <c r="B137" s="21" t="s">
        <v>228</v>
      </c>
      <c r="C137" s="21" t="s">
        <v>228</v>
      </c>
      <c r="D137" s="21" t="s">
        <v>86</v>
      </c>
    </row>
    <row r="138" customFormat="false" ht="15" hidden="false" customHeight="false" outlineLevel="0" collapsed="false">
      <c r="A138" s="21" t="s">
        <v>72</v>
      </c>
      <c r="B138" s="21" t="s">
        <v>229</v>
      </c>
      <c r="C138" s="21" t="s">
        <v>229</v>
      </c>
      <c r="D138" s="21" t="s">
        <v>86</v>
      </c>
    </row>
    <row r="139" customFormat="false" ht="15" hidden="false" customHeight="false" outlineLevel="0" collapsed="false">
      <c r="A139" s="21" t="s">
        <v>72</v>
      </c>
      <c r="B139" s="21" t="s">
        <v>230</v>
      </c>
      <c r="C139" s="21" t="s">
        <v>230</v>
      </c>
      <c r="D139" s="21" t="s">
        <v>86</v>
      </c>
    </row>
    <row r="140" customFormat="false" ht="15" hidden="false" customHeight="false" outlineLevel="0" collapsed="false">
      <c r="A140" s="21" t="s">
        <v>72</v>
      </c>
      <c r="B140" s="21" t="s">
        <v>231</v>
      </c>
      <c r="C140" s="21" t="s">
        <v>231</v>
      </c>
      <c r="D140" s="21" t="s">
        <v>86</v>
      </c>
    </row>
    <row r="141" customFormat="false" ht="15" hidden="false" customHeight="false" outlineLevel="0" collapsed="false">
      <c r="A141" s="21" t="s">
        <v>72</v>
      </c>
      <c r="B141" s="21" t="s">
        <v>232</v>
      </c>
      <c r="C141" s="21"/>
      <c r="D141" s="21" t="s">
        <v>50</v>
      </c>
    </row>
    <row r="142" customFormat="false" ht="15" hidden="false" customHeight="false" outlineLevel="0" collapsed="false">
      <c r="A142" s="21" t="s">
        <v>74</v>
      </c>
      <c r="B142" s="21" t="s">
        <v>233</v>
      </c>
      <c r="C142" s="21" t="s">
        <v>233</v>
      </c>
      <c r="D142" s="21" t="s">
        <v>86</v>
      </c>
    </row>
    <row r="143" customFormat="false" ht="15" hidden="false" customHeight="false" outlineLevel="0" collapsed="false">
      <c r="A143" s="21" t="s">
        <v>74</v>
      </c>
      <c r="B143" s="21" t="s">
        <v>234</v>
      </c>
      <c r="C143" s="21" t="s">
        <v>234</v>
      </c>
      <c r="D143" s="21" t="s">
        <v>86</v>
      </c>
    </row>
    <row r="144" customFormat="false" ht="15" hidden="false" customHeight="false" outlineLevel="0" collapsed="false">
      <c r="A144" s="21" t="s">
        <v>74</v>
      </c>
      <c r="B144" s="21" t="s">
        <v>235</v>
      </c>
      <c r="C144" s="21"/>
      <c r="D144" s="21" t="s">
        <v>50</v>
      </c>
    </row>
    <row r="145" customFormat="false" ht="15" hidden="false" customHeight="false" outlineLevel="0" collapsed="false">
      <c r="A145" s="21" t="s">
        <v>74</v>
      </c>
      <c r="B145" s="21" t="s">
        <v>236</v>
      </c>
      <c r="C145" s="21"/>
      <c r="D145" s="21" t="s">
        <v>50</v>
      </c>
    </row>
    <row r="146" customFormat="false" ht="15" hidden="false" customHeight="false" outlineLevel="0" collapsed="false">
      <c r="A146" s="21" t="s">
        <v>76</v>
      </c>
      <c r="B146" s="21" t="s">
        <v>237</v>
      </c>
      <c r="C146" s="21" t="s">
        <v>237</v>
      </c>
      <c r="D146" s="21" t="s">
        <v>86</v>
      </c>
    </row>
    <row r="147" customFormat="false" ht="15" hidden="false" customHeight="false" outlineLevel="0" collapsed="false">
      <c r="A147" s="21" t="s">
        <v>76</v>
      </c>
      <c r="B147" s="21" t="s">
        <v>238</v>
      </c>
      <c r="C147" s="21" t="s">
        <v>238</v>
      </c>
      <c r="D147" s="21" t="s">
        <v>86</v>
      </c>
    </row>
    <row r="148" customFormat="false" ht="15" hidden="false" customHeight="false" outlineLevel="0" collapsed="false">
      <c r="A148" s="21" t="s">
        <v>76</v>
      </c>
      <c r="B148" s="21" t="s">
        <v>239</v>
      </c>
      <c r="C148" s="21" t="s">
        <v>239</v>
      </c>
      <c r="D148" s="21" t="s">
        <v>86</v>
      </c>
    </row>
    <row r="149" customFormat="false" ht="15" hidden="false" customHeight="false" outlineLevel="0" collapsed="false">
      <c r="A149" s="21" t="s">
        <v>76</v>
      </c>
      <c r="B149" s="21" t="s">
        <v>240</v>
      </c>
      <c r="C149" s="21" t="s">
        <v>240</v>
      </c>
      <c r="D149" s="21" t="s">
        <v>86</v>
      </c>
    </row>
    <row r="150" customFormat="false" ht="15" hidden="false" customHeight="false" outlineLevel="0" collapsed="false">
      <c r="A150" s="21" t="s">
        <v>76</v>
      </c>
      <c r="B150" s="21" t="s">
        <v>241</v>
      </c>
      <c r="C150" s="21" t="s">
        <v>241</v>
      </c>
      <c r="D150" s="21" t="s">
        <v>86</v>
      </c>
    </row>
    <row r="151" customFormat="false" ht="15" hidden="false" customHeight="false" outlineLevel="0" collapsed="false">
      <c r="A151" s="21" t="s">
        <v>76</v>
      </c>
      <c r="B151" s="21" t="s">
        <v>242</v>
      </c>
      <c r="C151" s="21" t="s">
        <v>242</v>
      </c>
      <c r="D151" s="21" t="s">
        <v>86</v>
      </c>
    </row>
    <row r="152" customFormat="false" ht="15" hidden="false" customHeight="false" outlineLevel="0" collapsed="false">
      <c r="A152" s="21" t="s">
        <v>76</v>
      </c>
      <c r="B152" s="21" t="s">
        <v>243</v>
      </c>
      <c r="C152" s="21" t="s">
        <v>243</v>
      </c>
      <c r="D152" s="21" t="s">
        <v>86</v>
      </c>
    </row>
    <row r="153" customFormat="false" ht="15" hidden="false" customHeight="false" outlineLevel="0" collapsed="false">
      <c r="A153" s="21" t="s">
        <v>76</v>
      </c>
      <c r="B153" s="21" t="s">
        <v>244</v>
      </c>
      <c r="C153" s="21" t="s">
        <v>244</v>
      </c>
      <c r="D153" s="21" t="s">
        <v>86</v>
      </c>
    </row>
    <row r="154" customFormat="false" ht="15" hidden="false" customHeight="false" outlineLevel="0" collapsed="false">
      <c r="A154" s="21" t="s">
        <v>76</v>
      </c>
      <c r="B154" s="21" t="s">
        <v>245</v>
      </c>
      <c r="C154" s="21" t="s">
        <v>245</v>
      </c>
      <c r="D154" s="21" t="s">
        <v>86</v>
      </c>
    </row>
    <row r="155" customFormat="false" ht="15" hidden="false" customHeight="false" outlineLevel="0" collapsed="false">
      <c r="A155" s="21" t="s">
        <v>76</v>
      </c>
      <c r="B155" s="21" t="s">
        <v>246</v>
      </c>
      <c r="C155" s="21" t="s">
        <v>246</v>
      </c>
      <c r="D155" s="21" t="s">
        <v>86</v>
      </c>
    </row>
    <row r="156" customFormat="false" ht="15" hidden="false" customHeight="false" outlineLevel="0" collapsed="false">
      <c r="A156" s="21" t="s">
        <v>76</v>
      </c>
      <c r="B156" s="21" t="s">
        <v>247</v>
      </c>
      <c r="C156" s="21" t="s">
        <v>247</v>
      </c>
      <c r="D156" s="21" t="s">
        <v>86</v>
      </c>
    </row>
    <row r="157" customFormat="false" ht="15" hidden="false" customHeight="false" outlineLevel="0" collapsed="false">
      <c r="A157" s="21" t="s">
        <v>76</v>
      </c>
      <c r="B157" s="21" t="s">
        <v>248</v>
      </c>
      <c r="C157" s="21" t="s">
        <v>248</v>
      </c>
      <c r="D157" s="21" t="s">
        <v>86</v>
      </c>
    </row>
    <row r="158" customFormat="false" ht="15" hidden="false" customHeight="false" outlineLevel="0" collapsed="false">
      <c r="A158" s="21" t="s">
        <v>78</v>
      </c>
      <c r="B158" s="21" t="s">
        <v>249</v>
      </c>
      <c r="C158" s="21" t="s">
        <v>249</v>
      </c>
      <c r="D158" s="21" t="s">
        <v>86</v>
      </c>
    </row>
    <row r="159" customFormat="false" ht="15" hidden="false" customHeight="false" outlineLevel="0" collapsed="false">
      <c r="A159" s="21" t="s">
        <v>78</v>
      </c>
      <c r="B159" s="21" t="s">
        <v>250</v>
      </c>
      <c r="C159" s="21" t="s">
        <v>250</v>
      </c>
      <c r="D159" s="21" t="s">
        <v>86</v>
      </c>
    </row>
    <row r="160" customFormat="false" ht="15" hidden="false" customHeight="false" outlineLevel="0" collapsed="false">
      <c r="A160" s="21" t="s">
        <v>78</v>
      </c>
      <c r="B160" s="21" t="s">
        <v>251</v>
      </c>
      <c r="C160" s="21" t="s">
        <v>251</v>
      </c>
      <c r="D160" s="21" t="s">
        <v>86</v>
      </c>
    </row>
    <row r="161" customFormat="false" ht="15" hidden="false" customHeight="false" outlineLevel="0" collapsed="false">
      <c r="A161" s="21" t="s">
        <v>80</v>
      </c>
      <c r="B161" s="21" t="s">
        <v>252</v>
      </c>
      <c r="C161" s="21" t="s">
        <v>252</v>
      </c>
      <c r="D161" s="21" t="s">
        <v>86</v>
      </c>
    </row>
    <row r="162" customFormat="false" ht="15" hidden="false" customHeight="false" outlineLevel="0" collapsed="false">
      <c r="A162" s="21" t="s">
        <v>80</v>
      </c>
      <c r="B162" s="21" t="s">
        <v>253</v>
      </c>
      <c r="C162" s="21" t="s">
        <v>253</v>
      </c>
      <c r="D162" s="21" t="s">
        <v>86</v>
      </c>
    </row>
    <row r="163" customFormat="false" ht="15" hidden="false" customHeight="false" outlineLevel="0" collapsed="false">
      <c r="A163" s="21" t="s">
        <v>80</v>
      </c>
      <c r="B163" s="21" t="s">
        <v>254</v>
      </c>
      <c r="C163" s="21"/>
      <c r="D163" s="21" t="s">
        <v>50</v>
      </c>
    </row>
    <row r="164" customFormat="false" ht="15" hidden="false" customHeight="false" outlineLevel="0" collapsed="false">
      <c r="A164" s="21" t="s">
        <v>80</v>
      </c>
      <c r="B164" s="21" t="s">
        <v>255</v>
      </c>
      <c r="C164" s="21"/>
      <c r="D164" s="21" t="s">
        <v>50</v>
      </c>
    </row>
    <row r="165" customFormat="false" ht="15" hidden="false" customHeight="false" outlineLevel="0" collapsed="false">
      <c r="A165" s="21" t="s">
        <v>80</v>
      </c>
      <c r="B165" s="21" t="s">
        <v>256</v>
      </c>
      <c r="C165" s="21"/>
      <c r="D165" s="21" t="s">
        <v>50</v>
      </c>
    </row>
    <row r="166" customFormat="false" ht="15" hidden="false" customHeight="false" outlineLevel="0" collapsed="false">
      <c r="A166" s="21" t="s">
        <v>80</v>
      </c>
      <c r="B166" s="21"/>
      <c r="C166" s="21" t="s">
        <v>257</v>
      </c>
      <c r="D166" s="21" t="s">
        <v>49</v>
      </c>
    </row>
    <row r="167" customFormat="false" ht="15" hidden="false" customHeight="false" outlineLevel="0" collapsed="false">
      <c r="A167" s="21" t="s">
        <v>80</v>
      </c>
      <c r="B167" s="21"/>
      <c r="C167" s="21" t="s">
        <v>258</v>
      </c>
      <c r="D167" s="21" t="s">
        <v>49</v>
      </c>
    </row>
  </sheetData>
  <conditionalFormatting sqref="A2:D167">
    <cfRule type="expression" priority="2" aboveAverage="0" equalAverage="0" bottom="0" percent="0" rank="0" text="" dxfId="8">
      <formula>$D2="Toegevoegd"</formula>
    </cfRule>
    <cfRule type="expression" priority="3" aboveAverage="0" equalAverage="0" bottom="0" percent="0" rank="0" text="" dxfId="15">
      <formula>$D2="Vervallen"</formula>
    </cfRule>
    <cfRule type="expression" priority="4" aboveAverage="0" equalAverage="0" bottom="0" percent="0" rank="0" text="" dxfId="16">
      <formula>$D2="Gewijzigd"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– pagina &amp;P van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4" min="3" style="1" width="45"/>
    <col collapsed="false" customWidth="true" hidden="false" outlineLevel="0" max="5" min="5" style="1" width="13"/>
  </cols>
  <sheetData>
    <row r="1" customFormat="false" ht="24" hidden="false" customHeight="true" outlineLevel="0" collapsed="false">
      <c r="A1" s="16" t="s">
        <v>43</v>
      </c>
      <c r="B1" s="16" t="s">
        <v>259</v>
      </c>
      <c r="C1" s="16" t="s">
        <v>260</v>
      </c>
      <c r="D1" s="16" t="s">
        <v>261</v>
      </c>
      <c r="E1" s="16" t="s">
        <v>84</v>
      </c>
    </row>
    <row r="2" customFormat="false" ht="15" hidden="false" customHeight="false" outlineLevel="0" collapsed="false">
      <c r="A2" s="18" t="s">
        <v>52</v>
      </c>
      <c r="B2" s="18" t="s">
        <v>262</v>
      </c>
      <c r="C2" s="22" t="s">
        <v>136</v>
      </c>
      <c r="D2" s="18"/>
      <c r="E2" s="18" t="s">
        <v>50</v>
      </c>
    </row>
    <row r="3" customFormat="false" ht="15" hidden="false" customHeight="false" outlineLevel="0" collapsed="false">
      <c r="A3" s="18" t="s">
        <v>52</v>
      </c>
      <c r="B3" s="18" t="s">
        <v>262</v>
      </c>
      <c r="C3" s="22" t="s">
        <v>137</v>
      </c>
      <c r="D3" s="18"/>
      <c r="E3" s="18" t="s">
        <v>50</v>
      </c>
    </row>
    <row r="4" customFormat="false" ht="15" hidden="false" customHeight="false" outlineLevel="0" collapsed="false">
      <c r="A4" s="18" t="s">
        <v>52</v>
      </c>
      <c r="B4" s="18" t="s">
        <v>262</v>
      </c>
      <c r="C4" s="22" t="s">
        <v>138</v>
      </c>
      <c r="D4" s="18"/>
      <c r="E4" s="18" t="s">
        <v>50</v>
      </c>
    </row>
    <row r="5" customFormat="false" ht="15" hidden="false" customHeight="false" outlineLevel="0" collapsed="false">
      <c r="A5" s="18" t="s">
        <v>52</v>
      </c>
      <c r="B5" s="18" t="s">
        <v>262</v>
      </c>
      <c r="C5" s="22" t="s">
        <v>139</v>
      </c>
      <c r="D5" s="18"/>
      <c r="E5" s="18" t="s">
        <v>50</v>
      </c>
    </row>
    <row r="6" customFormat="false" ht="15" hidden="false" customHeight="false" outlineLevel="0" collapsed="false">
      <c r="A6" s="18" t="s">
        <v>52</v>
      </c>
      <c r="B6" s="18" t="s">
        <v>262</v>
      </c>
      <c r="C6" s="18"/>
      <c r="D6" s="23" t="s">
        <v>140</v>
      </c>
      <c r="E6" s="18" t="s">
        <v>49</v>
      </c>
    </row>
    <row r="7" customFormat="false" ht="15" hidden="false" customHeight="false" outlineLevel="0" collapsed="false">
      <c r="A7" s="18" t="s">
        <v>52</v>
      </c>
      <c r="B7" s="18" t="s">
        <v>262</v>
      </c>
      <c r="C7" s="18"/>
      <c r="D7" s="23" t="s">
        <v>141</v>
      </c>
      <c r="E7" s="18" t="s">
        <v>49</v>
      </c>
    </row>
    <row r="8" customFormat="false" ht="15" hidden="false" customHeight="false" outlineLevel="0" collapsed="false">
      <c r="A8" s="18" t="s">
        <v>52</v>
      </c>
      <c r="B8" s="18" t="s">
        <v>262</v>
      </c>
      <c r="C8" s="18"/>
      <c r="D8" s="23" t="s">
        <v>142</v>
      </c>
      <c r="E8" s="18" t="s">
        <v>49</v>
      </c>
    </row>
    <row r="9" customFormat="false" ht="15" hidden="false" customHeight="false" outlineLevel="0" collapsed="false">
      <c r="A9" s="18" t="s">
        <v>52</v>
      </c>
      <c r="B9" s="18" t="s">
        <v>262</v>
      </c>
      <c r="C9" s="18"/>
      <c r="D9" s="23" t="s">
        <v>143</v>
      </c>
      <c r="E9" s="18" t="s">
        <v>49</v>
      </c>
    </row>
    <row r="10" customFormat="false" ht="15" hidden="false" customHeight="false" outlineLevel="0" collapsed="false">
      <c r="A10" s="18" t="s">
        <v>52</v>
      </c>
      <c r="B10" s="18" t="s">
        <v>262</v>
      </c>
      <c r="C10" s="18"/>
      <c r="D10" s="23" t="s">
        <v>144</v>
      </c>
      <c r="E10" s="18" t="s">
        <v>49</v>
      </c>
    </row>
    <row r="11" customFormat="false" ht="15" hidden="false" customHeight="false" outlineLevel="0" collapsed="false">
      <c r="A11" s="18" t="s">
        <v>64</v>
      </c>
      <c r="B11" s="18" t="s">
        <v>262</v>
      </c>
      <c r="C11" s="18"/>
      <c r="D11" s="23" t="s">
        <v>169</v>
      </c>
      <c r="E11" s="18" t="s">
        <v>49</v>
      </c>
    </row>
    <row r="12" customFormat="false" ht="15" hidden="false" customHeight="false" outlineLevel="0" collapsed="false">
      <c r="A12" s="18" t="s">
        <v>64</v>
      </c>
      <c r="B12" s="18" t="s">
        <v>262</v>
      </c>
      <c r="C12" s="18"/>
      <c r="D12" s="23" t="s">
        <v>170</v>
      </c>
      <c r="E12" s="18" t="s">
        <v>49</v>
      </c>
    </row>
    <row r="13" customFormat="false" ht="15" hidden="false" customHeight="false" outlineLevel="0" collapsed="false">
      <c r="A13" s="18" t="s">
        <v>66</v>
      </c>
      <c r="B13" s="18" t="s">
        <v>262</v>
      </c>
      <c r="C13" s="24" t="s">
        <v>172</v>
      </c>
      <c r="D13" s="24" t="s">
        <v>173</v>
      </c>
      <c r="E13" s="18" t="s">
        <v>174</v>
      </c>
    </row>
    <row r="14" customFormat="false" ht="15" hidden="false" customHeight="false" outlineLevel="0" collapsed="false">
      <c r="A14" s="18" t="s">
        <v>66</v>
      </c>
      <c r="B14" s="18" t="s">
        <v>262</v>
      </c>
      <c r="C14" s="24" t="s">
        <v>175</v>
      </c>
      <c r="D14" s="24" t="s">
        <v>176</v>
      </c>
      <c r="E14" s="18" t="s">
        <v>174</v>
      </c>
    </row>
    <row r="15" customFormat="false" ht="15" hidden="false" customHeight="false" outlineLevel="0" collapsed="false">
      <c r="A15" s="18" t="s">
        <v>66</v>
      </c>
      <c r="B15" s="18" t="s">
        <v>262</v>
      </c>
      <c r="C15" s="24" t="s">
        <v>177</v>
      </c>
      <c r="D15" s="24" t="s">
        <v>178</v>
      </c>
      <c r="E15" s="18" t="s">
        <v>174</v>
      </c>
    </row>
    <row r="16" customFormat="false" ht="15" hidden="false" customHeight="false" outlineLevel="0" collapsed="false">
      <c r="A16" s="18" t="s">
        <v>66</v>
      </c>
      <c r="B16" s="18" t="s">
        <v>262</v>
      </c>
      <c r="C16" s="24" t="s">
        <v>179</v>
      </c>
      <c r="D16" s="24" t="s">
        <v>180</v>
      </c>
      <c r="E16" s="18" t="s">
        <v>174</v>
      </c>
    </row>
    <row r="17" customFormat="false" ht="15" hidden="false" customHeight="false" outlineLevel="0" collapsed="false">
      <c r="A17" s="18" t="s">
        <v>66</v>
      </c>
      <c r="B17" s="18" t="s">
        <v>262</v>
      </c>
      <c r="C17" s="24" t="s">
        <v>181</v>
      </c>
      <c r="D17" s="24" t="s">
        <v>182</v>
      </c>
      <c r="E17" s="18" t="s">
        <v>174</v>
      </c>
    </row>
    <row r="18" customFormat="false" ht="15" hidden="false" customHeight="false" outlineLevel="0" collapsed="false">
      <c r="A18" s="18" t="s">
        <v>66</v>
      </c>
      <c r="B18" s="18" t="s">
        <v>262</v>
      </c>
      <c r="C18" s="22" t="s">
        <v>183</v>
      </c>
      <c r="D18" s="18"/>
      <c r="E18" s="18" t="s">
        <v>50</v>
      </c>
    </row>
    <row r="19" customFormat="false" ht="15" hidden="false" customHeight="false" outlineLevel="0" collapsed="false">
      <c r="A19" s="18" t="s">
        <v>66</v>
      </c>
      <c r="B19" s="18" t="s">
        <v>262</v>
      </c>
      <c r="C19" s="22" t="s">
        <v>184</v>
      </c>
      <c r="D19" s="18"/>
      <c r="E19" s="18" t="s">
        <v>50</v>
      </c>
    </row>
    <row r="20" customFormat="false" ht="15" hidden="false" customHeight="false" outlineLevel="0" collapsed="false">
      <c r="A20" s="18" t="s">
        <v>66</v>
      </c>
      <c r="B20" s="18" t="s">
        <v>262</v>
      </c>
      <c r="C20" s="22" t="s">
        <v>185</v>
      </c>
      <c r="D20" s="18"/>
      <c r="E20" s="18" t="s">
        <v>50</v>
      </c>
    </row>
    <row r="21" customFormat="false" ht="15" hidden="false" customHeight="false" outlineLevel="0" collapsed="false">
      <c r="A21" s="18" t="s">
        <v>66</v>
      </c>
      <c r="B21" s="18" t="s">
        <v>262</v>
      </c>
      <c r="C21" s="22" t="s">
        <v>186</v>
      </c>
      <c r="D21" s="18"/>
      <c r="E21" s="18" t="s">
        <v>50</v>
      </c>
    </row>
    <row r="22" customFormat="false" ht="15" hidden="false" customHeight="false" outlineLevel="0" collapsed="false">
      <c r="A22" s="18" t="s">
        <v>66</v>
      </c>
      <c r="B22" s="18" t="s">
        <v>262</v>
      </c>
      <c r="C22" s="22" t="s">
        <v>187</v>
      </c>
      <c r="D22" s="18"/>
      <c r="E22" s="18" t="s">
        <v>50</v>
      </c>
    </row>
    <row r="23" customFormat="false" ht="15" hidden="false" customHeight="false" outlineLevel="0" collapsed="false">
      <c r="A23" s="18" t="s">
        <v>66</v>
      </c>
      <c r="B23" s="18" t="s">
        <v>262</v>
      </c>
      <c r="C23" s="22" t="s">
        <v>188</v>
      </c>
      <c r="D23" s="18"/>
      <c r="E23" s="18" t="s">
        <v>50</v>
      </c>
    </row>
    <row r="24" customFormat="false" ht="15" hidden="false" customHeight="false" outlineLevel="0" collapsed="false">
      <c r="A24" s="18" t="s">
        <v>66</v>
      </c>
      <c r="B24" s="18" t="s">
        <v>262</v>
      </c>
      <c r="C24" s="22" t="s">
        <v>189</v>
      </c>
      <c r="D24" s="18"/>
      <c r="E24" s="18" t="s">
        <v>50</v>
      </c>
    </row>
    <row r="25" customFormat="false" ht="15" hidden="false" customHeight="false" outlineLevel="0" collapsed="false">
      <c r="A25" s="18" t="s">
        <v>66</v>
      </c>
      <c r="B25" s="18" t="s">
        <v>262</v>
      </c>
      <c r="C25" s="22" t="s">
        <v>190</v>
      </c>
      <c r="D25" s="18"/>
      <c r="E25" s="18" t="s">
        <v>50</v>
      </c>
    </row>
    <row r="26" customFormat="false" ht="15" hidden="false" customHeight="false" outlineLevel="0" collapsed="false">
      <c r="A26" s="18" t="s">
        <v>66</v>
      </c>
      <c r="B26" s="18" t="s">
        <v>262</v>
      </c>
      <c r="C26" s="22" t="s">
        <v>191</v>
      </c>
      <c r="D26" s="18"/>
      <c r="E26" s="18" t="s">
        <v>50</v>
      </c>
    </row>
    <row r="27" customFormat="false" ht="15" hidden="false" customHeight="false" outlineLevel="0" collapsed="false">
      <c r="A27" s="18" t="s">
        <v>66</v>
      </c>
      <c r="B27" s="18" t="s">
        <v>262</v>
      </c>
      <c r="C27" s="22" t="s">
        <v>192</v>
      </c>
      <c r="D27" s="18"/>
      <c r="E27" s="18" t="s">
        <v>50</v>
      </c>
    </row>
    <row r="28" customFormat="false" ht="15" hidden="false" customHeight="false" outlineLevel="0" collapsed="false">
      <c r="A28" s="18" t="s">
        <v>66</v>
      </c>
      <c r="B28" s="18" t="s">
        <v>262</v>
      </c>
      <c r="C28" s="22" t="s">
        <v>193</v>
      </c>
      <c r="D28" s="18"/>
      <c r="E28" s="18" t="s">
        <v>50</v>
      </c>
    </row>
    <row r="29" customFormat="false" ht="15" hidden="false" customHeight="false" outlineLevel="0" collapsed="false">
      <c r="A29" s="18" t="s">
        <v>68</v>
      </c>
      <c r="B29" s="18" t="s">
        <v>262</v>
      </c>
      <c r="C29" s="24" t="s">
        <v>195</v>
      </c>
      <c r="D29" s="24" t="s">
        <v>196</v>
      </c>
      <c r="E29" s="18" t="s">
        <v>174</v>
      </c>
    </row>
    <row r="30" customFormat="false" ht="15" hidden="false" customHeight="false" outlineLevel="0" collapsed="false">
      <c r="A30" s="18" t="s">
        <v>68</v>
      </c>
      <c r="B30" s="18" t="s">
        <v>262</v>
      </c>
      <c r="C30" s="24" t="s">
        <v>204</v>
      </c>
      <c r="D30" s="24" t="s">
        <v>205</v>
      </c>
      <c r="E30" s="18" t="s">
        <v>174</v>
      </c>
    </row>
    <row r="31" customFormat="false" ht="15" hidden="false" customHeight="false" outlineLevel="0" collapsed="false">
      <c r="A31" s="18" t="s">
        <v>68</v>
      </c>
      <c r="B31" s="18" t="s">
        <v>262</v>
      </c>
      <c r="C31" s="24" t="s">
        <v>209</v>
      </c>
      <c r="D31" s="24" t="s">
        <v>210</v>
      </c>
      <c r="E31" s="18" t="s">
        <v>174</v>
      </c>
    </row>
    <row r="32" customFormat="false" ht="15" hidden="false" customHeight="false" outlineLevel="0" collapsed="false">
      <c r="A32" s="18" t="s">
        <v>68</v>
      </c>
      <c r="B32" s="18" t="s">
        <v>262</v>
      </c>
      <c r="C32" s="22" t="s">
        <v>211</v>
      </c>
      <c r="D32" s="18"/>
      <c r="E32" s="18" t="s">
        <v>50</v>
      </c>
    </row>
    <row r="33" customFormat="false" ht="15" hidden="false" customHeight="false" outlineLevel="0" collapsed="false">
      <c r="A33" s="18" t="s">
        <v>68</v>
      </c>
      <c r="B33" s="18" t="s">
        <v>262</v>
      </c>
      <c r="C33" s="22" t="s">
        <v>212</v>
      </c>
      <c r="D33" s="18"/>
      <c r="E33" s="18" t="s">
        <v>50</v>
      </c>
    </row>
    <row r="34" customFormat="false" ht="15" hidden="false" customHeight="false" outlineLevel="0" collapsed="false">
      <c r="A34" s="18" t="s">
        <v>68</v>
      </c>
      <c r="B34" s="18" t="s">
        <v>262</v>
      </c>
      <c r="C34" s="22" t="s">
        <v>213</v>
      </c>
      <c r="D34" s="18"/>
      <c r="E34" s="18" t="s">
        <v>50</v>
      </c>
    </row>
    <row r="35" customFormat="false" ht="15" hidden="false" customHeight="false" outlineLevel="0" collapsed="false">
      <c r="A35" s="18" t="s">
        <v>68</v>
      </c>
      <c r="B35" s="18" t="s">
        <v>262</v>
      </c>
      <c r="C35" s="22" t="s">
        <v>214</v>
      </c>
      <c r="D35" s="18"/>
      <c r="E35" s="18" t="s">
        <v>50</v>
      </c>
    </row>
    <row r="36" customFormat="false" ht="15" hidden="false" customHeight="false" outlineLevel="0" collapsed="false">
      <c r="A36" s="18" t="s">
        <v>68</v>
      </c>
      <c r="B36" s="18" t="s">
        <v>262</v>
      </c>
      <c r="C36" s="22" t="s">
        <v>215</v>
      </c>
      <c r="D36" s="18"/>
      <c r="E36" s="18" t="s">
        <v>50</v>
      </c>
    </row>
    <row r="37" customFormat="false" ht="15" hidden="false" customHeight="false" outlineLevel="0" collapsed="false">
      <c r="A37" s="18" t="s">
        <v>68</v>
      </c>
      <c r="B37" s="18" t="s">
        <v>262</v>
      </c>
      <c r="C37" s="22" t="s">
        <v>216</v>
      </c>
      <c r="D37" s="18"/>
      <c r="E37" s="18" t="s">
        <v>50</v>
      </c>
    </row>
    <row r="38" customFormat="false" ht="15" hidden="false" customHeight="false" outlineLevel="0" collapsed="false">
      <c r="A38" s="18" t="s">
        <v>68</v>
      </c>
      <c r="B38" s="18" t="s">
        <v>262</v>
      </c>
      <c r="C38" s="22" t="s">
        <v>217</v>
      </c>
      <c r="D38" s="18"/>
      <c r="E38" s="18" t="s">
        <v>50</v>
      </c>
    </row>
    <row r="39" customFormat="false" ht="15" hidden="false" customHeight="false" outlineLevel="0" collapsed="false">
      <c r="A39" s="18" t="s">
        <v>68</v>
      </c>
      <c r="B39" s="18" t="s">
        <v>262</v>
      </c>
      <c r="C39" s="18"/>
      <c r="D39" s="23" t="s">
        <v>218</v>
      </c>
      <c r="E39" s="18" t="s">
        <v>49</v>
      </c>
    </row>
    <row r="40" customFormat="false" ht="15" hidden="false" customHeight="false" outlineLevel="0" collapsed="false">
      <c r="A40" s="18" t="s">
        <v>68</v>
      </c>
      <c r="B40" s="18" t="s">
        <v>262</v>
      </c>
      <c r="C40" s="18"/>
      <c r="D40" s="23" t="s">
        <v>219</v>
      </c>
      <c r="E40" s="18" t="s">
        <v>49</v>
      </c>
    </row>
    <row r="41" customFormat="false" ht="15" hidden="false" customHeight="false" outlineLevel="0" collapsed="false">
      <c r="A41" s="18" t="s">
        <v>68</v>
      </c>
      <c r="B41" s="18" t="s">
        <v>262</v>
      </c>
      <c r="C41" s="18"/>
      <c r="D41" s="23" t="s">
        <v>220</v>
      </c>
      <c r="E41" s="18" t="s">
        <v>49</v>
      </c>
    </row>
    <row r="42" customFormat="false" ht="15" hidden="false" customHeight="false" outlineLevel="0" collapsed="false">
      <c r="A42" s="18" t="s">
        <v>72</v>
      </c>
      <c r="B42" s="18" t="s">
        <v>262</v>
      </c>
      <c r="C42" s="22" t="s">
        <v>232</v>
      </c>
      <c r="D42" s="18"/>
      <c r="E42" s="18" t="s">
        <v>50</v>
      </c>
    </row>
    <row r="43" customFormat="false" ht="15" hidden="false" customHeight="false" outlineLevel="0" collapsed="false">
      <c r="A43" s="18" t="s">
        <v>74</v>
      </c>
      <c r="B43" s="18" t="s">
        <v>262</v>
      </c>
      <c r="C43" s="22" t="s">
        <v>235</v>
      </c>
      <c r="D43" s="18"/>
      <c r="E43" s="18" t="s">
        <v>50</v>
      </c>
    </row>
    <row r="44" customFormat="false" ht="15" hidden="false" customHeight="false" outlineLevel="0" collapsed="false">
      <c r="A44" s="18" t="s">
        <v>74</v>
      </c>
      <c r="B44" s="18" t="s">
        <v>262</v>
      </c>
      <c r="C44" s="22" t="s">
        <v>236</v>
      </c>
      <c r="D44" s="18"/>
      <c r="E44" s="18" t="s">
        <v>50</v>
      </c>
    </row>
    <row r="45" customFormat="false" ht="15" hidden="false" customHeight="false" outlineLevel="0" collapsed="false">
      <c r="A45" s="18" t="s">
        <v>80</v>
      </c>
      <c r="B45" s="18" t="s">
        <v>262</v>
      </c>
      <c r="C45" s="22" t="s">
        <v>254</v>
      </c>
      <c r="D45" s="18"/>
      <c r="E45" s="18" t="s">
        <v>50</v>
      </c>
    </row>
    <row r="46" customFormat="false" ht="15" hidden="false" customHeight="false" outlineLevel="0" collapsed="false">
      <c r="A46" s="18" t="s">
        <v>80</v>
      </c>
      <c r="B46" s="18" t="s">
        <v>262</v>
      </c>
      <c r="C46" s="22" t="s">
        <v>255</v>
      </c>
      <c r="D46" s="18"/>
      <c r="E46" s="18" t="s">
        <v>50</v>
      </c>
    </row>
    <row r="47" customFormat="false" ht="15" hidden="false" customHeight="false" outlineLevel="0" collapsed="false">
      <c r="A47" s="18" t="s">
        <v>80</v>
      </c>
      <c r="B47" s="18" t="s">
        <v>262</v>
      </c>
      <c r="C47" s="22" t="s">
        <v>256</v>
      </c>
      <c r="D47" s="18"/>
      <c r="E47" s="18" t="s">
        <v>50</v>
      </c>
    </row>
    <row r="48" customFormat="false" ht="15" hidden="false" customHeight="false" outlineLevel="0" collapsed="false">
      <c r="A48" s="18" t="s">
        <v>80</v>
      </c>
      <c r="B48" s="18" t="s">
        <v>262</v>
      </c>
      <c r="C48" s="18"/>
      <c r="D48" s="23" t="s">
        <v>257</v>
      </c>
      <c r="E48" s="18" t="s">
        <v>49</v>
      </c>
    </row>
    <row r="49" customFormat="false" ht="15" hidden="false" customHeight="false" outlineLevel="0" collapsed="false">
      <c r="A49" s="18" t="s">
        <v>80</v>
      </c>
      <c r="B49" s="18" t="s">
        <v>262</v>
      </c>
      <c r="C49" s="18"/>
      <c r="D49" s="23" t="s">
        <v>258</v>
      </c>
      <c r="E49" s="18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– pagina &amp;P van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D1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4" min="3" style="1" width="40"/>
  </cols>
  <sheetData>
    <row r="1" customFormat="false" ht="15" hidden="false" customHeight="false" outlineLevel="0" collapsed="false">
      <c r="A1" s="6" t="s">
        <v>263</v>
      </c>
    </row>
    <row r="2" customFormat="false" ht="18" hidden="false" customHeight="true" outlineLevel="0" collapsed="false">
      <c r="A2" s="25" t="s">
        <v>264</v>
      </c>
      <c r="B2" s="25"/>
      <c r="C2" s="25" t="s">
        <v>30</v>
      </c>
      <c r="D2" s="25"/>
    </row>
    <row r="3" customFormat="false" ht="15" hidden="false" customHeight="false" outlineLevel="0" collapsed="false">
      <c r="A3" s="26" t="s">
        <v>260</v>
      </c>
      <c r="B3" s="26" t="s">
        <v>261</v>
      </c>
      <c r="C3" s="26" t="s">
        <v>260</v>
      </c>
      <c r="D3" s="26" t="s">
        <v>261</v>
      </c>
    </row>
    <row r="4" customFormat="false" ht="12" hidden="false" customHeight="true" outlineLevel="0" collapsed="false">
      <c r="A4" s="27" t="s">
        <v>52</v>
      </c>
      <c r="B4" s="28"/>
      <c r="C4" s="29" t="s">
        <v>85</v>
      </c>
      <c r="D4" s="29" t="s">
        <v>85</v>
      </c>
    </row>
    <row r="5" customFormat="false" ht="12" hidden="false" customHeight="true" outlineLevel="0" collapsed="false">
      <c r="A5" s="27"/>
      <c r="B5" s="27"/>
      <c r="C5" s="30" t="s">
        <v>87</v>
      </c>
      <c r="D5" s="30" t="s">
        <v>87</v>
      </c>
    </row>
    <row r="6" customFormat="false" ht="12" hidden="false" customHeight="true" outlineLevel="0" collapsed="false">
      <c r="A6" s="27"/>
      <c r="B6" s="27"/>
      <c r="C6" s="30" t="s">
        <v>88</v>
      </c>
      <c r="D6" s="30" t="s">
        <v>88</v>
      </c>
    </row>
    <row r="7" customFormat="false" ht="12" hidden="false" customHeight="true" outlineLevel="0" collapsed="false">
      <c r="A7" s="27"/>
      <c r="B7" s="27"/>
      <c r="C7" s="30" t="s">
        <v>89</v>
      </c>
      <c r="D7" s="30" t="s">
        <v>89</v>
      </c>
    </row>
    <row r="8" customFormat="false" ht="12" hidden="false" customHeight="true" outlineLevel="0" collapsed="false">
      <c r="A8" s="27"/>
      <c r="B8" s="27"/>
      <c r="C8" s="30" t="s">
        <v>90</v>
      </c>
      <c r="D8" s="30" t="s">
        <v>90</v>
      </c>
    </row>
    <row r="9" customFormat="false" ht="12" hidden="false" customHeight="true" outlineLevel="0" collapsed="false">
      <c r="A9" s="27"/>
      <c r="B9" s="27"/>
      <c r="C9" s="30" t="s">
        <v>91</v>
      </c>
      <c r="D9" s="30" t="s">
        <v>91</v>
      </c>
    </row>
    <row r="10" customFormat="false" ht="12" hidden="false" customHeight="true" outlineLevel="0" collapsed="false">
      <c r="A10" s="27"/>
      <c r="B10" s="27"/>
      <c r="C10" s="30" t="s">
        <v>92</v>
      </c>
      <c r="D10" s="30" t="s">
        <v>92</v>
      </c>
    </row>
    <row r="11" customFormat="false" ht="12" hidden="false" customHeight="true" outlineLevel="0" collapsed="false">
      <c r="A11" s="27"/>
      <c r="B11" s="27"/>
      <c r="C11" s="30" t="s">
        <v>93</v>
      </c>
      <c r="D11" s="30" t="s">
        <v>93</v>
      </c>
    </row>
    <row r="12" customFormat="false" ht="12" hidden="false" customHeight="true" outlineLevel="0" collapsed="false">
      <c r="A12" s="27"/>
      <c r="B12" s="27"/>
      <c r="C12" s="30" t="s">
        <v>94</v>
      </c>
      <c r="D12" s="30" t="s">
        <v>94</v>
      </c>
    </row>
    <row r="13" customFormat="false" ht="12" hidden="false" customHeight="true" outlineLevel="0" collapsed="false">
      <c r="A13" s="27"/>
      <c r="B13" s="27"/>
      <c r="C13" s="30" t="s">
        <v>95</v>
      </c>
      <c r="D13" s="30" t="s">
        <v>95</v>
      </c>
    </row>
    <row r="14" customFormat="false" ht="12" hidden="false" customHeight="true" outlineLevel="0" collapsed="false">
      <c r="A14" s="27"/>
      <c r="B14" s="27"/>
      <c r="C14" s="30" t="s">
        <v>96</v>
      </c>
      <c r="D14" s="30" t="s">
        <v>96</v>
      </c>
    </row>
    <row r="15" customFormat="false" ht="12" hidden="false" customHeight="true" outlineLevel="0" collapsed="false">
      <c r="A15" s="27"/>
      <c r="B15" s="27"/>
      <c r="C15" s="30" t="s">
        <v>97</v>
      </c>
      <c r="D15" s="30" t="s">
        <v>97</v>
      </c>
    </row>
    <row r="16" customFormat="false" ht="12" hidden="false" customHeight="true" outlineLevel="0" collapsed="false">
      <c r="A16" s="27"/>
      <c r="B16" s="27"/>
      <c r="C16" s="30" t="s">
        <v>98</v>
      </c>
      <c r="D16" s="30" t="s">
        <v>98</v>
      </c>
    </row>
    <row r="17" customFormat="false" ht="12" hidden="false" customHeight="true" outlineLevel="0" collapsed="false">
      <c r="A17" s="27"/>
      <c r="B17" s="27"/>
      <c r="C17" s="30" t="s">
        <v>99</v>
      </c>
      <c r="D17" s="30" t="s">
        <v>99</v>
      </c>
    </row>
    <row r="18" customFormat="false" ht="12" hidden="false" customHeight="true" outlineLevel="0" collapsed="false">
      <c r="A18" s="27"/>
      <c r="B18" s="27"/>
      <c r="C18" s="30" t="s">
        <v>100</v>
      </c>
      <c r="D18" s="30" t="s">
        <v>100</v>
      </c>
    </row>
    <row r="19" customFormat="false" ht="12" hidden="false" customHeight="true" outlineLevel="0" collapsed="false">
      <c r="A19" s="27"/>
      <c r="B19" s="27"/>
      <c r="C19" s="30" t="s">
        <v>101</v>
      </c>
      <c r="D19" s="30" t="s">
        <v>101</v>
      </c>
    </row>
    <row r="20" customFormat="false" ht="12" hidden="false" customHeight="true" outlineLevel="0" collapsed="false">
      <c r="A20" s="27"/>
      <c r="B20" s="27"/>
      <c r="C20" s="30" t="s">
        <v>102</v>
      </c>
      <c r="D20" s="30" t="s">
        <v>102</v>
      </c>
    </row>
    <row r="21" customFormat="false" ht="12" hidden="false" customHeight="true" outlineLevel="0" collapsed="false">
      <c r="A21" s="27"/>
      <c r="B21" s="27"/>
      <c r="C21" s="30" t="s">
        <v>103</v>
      </c>
      <c r="D21" s="30" t="s">
        <v>103</v>
      </c>
    </row>
    <row r="22" customFormat="false" ht="12" hidden="false" customHeight="true" outlineLevel="0" collapsed="false">
      <c r="A22" s="27"/>
      <c r="B22" s="27"/>
      <c r="C22" s="30" t="s">
        <v>104</v>
      </c>
      <c r="D22" s="30" t="s">
        <v>104</v>
      </c>
    </row>
    <row r="23" customFormat="false" ht="12" hidden="false" customHeight="true" outlineLevel="0" collapsed="false">
      <c r="A23" s="27"/>
      <c r="B23" s="27"/>
      <c r="C23" s="30" t="s">
        <v>105</v>
      </c>
      <c r="D23" s="30" t="s">
        <v>105</v>
      </c>
    </row>
    <row r="24" customFormat="false" ht="12" hidden="false" customHeight="true" outlineLevel="0" collapsed="false">
      <c r="A24" s="27"/>
      <c r="B24" s="27"/>
      <c r="C24" s="30" t="s">
        <v>106</v>
      </c>
      <c r="D24" s="30" t="s">
        <v>106</v>
      </c>
    </row>
    <row r="25" customFormat="false" ht="12" hidden="false" customHeight="true" outlineLevel="0" collapsed="false">
      <c r="A25" s="27"/>
      <c r="B25" s="27"/>
      <c r="C25" s="30" t="s">
        <v>107</v>
      </c>
      <c r="D25" s="30" t="s">
        <v>107</v>
      </c>
    </row>
    <row r="26" customFormat="false" ht="12" hidden="false" customHeight="true" outlineLevel="0" collapsed="false">
      <c r="A26" s="27"/>
      <c r="B26" s="27"/>
      <c r="C26" s="30" t="s">
        <v>108</v>
      </c>
      <c r="D26" s="30" t="s">
        <v>108</v>
      </c>
    </row>
    <row r="27" customFormat="false" ht="12" hidden="false" customHeight="true" outlineLevel="0" collapsed="false">
      <c r="A27" s="27"/>
      <c r="B27" s="27"/>
      <c r="C27" s="30" t="s">
        <v>109</v>
      </c>
      <c r="D27" s="30" t="s">
        <v>109</v>
      </c>
    </row>
    <row r="28" customFormat="false" ht="12" hidden="false" customHeight="true" outlineLevel="0" collapsed="false">
      <c r="A28" s="27"/>
      <c r="B28" s="27"/>
      <c r="C28" s="30" t="s">
        <v>110</v>
      </c>
      <c r="D28" s="30" t="s">
        <v>110</v>
      </c>
    </row>
    <row r="29" customFormat="false" ht="12" hidden="false" customHeight="true" outlineLevel="0" collapsed="false">
      <c r="A29" s="27"/>
      <c r="B29" s="27"/>
      <c r="C29" s="30" t="s">
        <v>111</v>
      </c>
      <c r="D29" s="30" t="s">
        <v>111</v>
      </c>
    </row>
    <row r="30" customFormat="false" ht="12" hidden="false" customHeight="true" outlineLevel="0" collapsed="false">
      <c r="A30" s="27"/>
      <c r="B30" s="27"/>
      <c r="C30" s="30" t="s">
        <v>112</v>
      </c>
      <c r="D30" s="30" t="s">
        <v>112</v>
      </c>
    </row>
    <row r="31" customFormat="false" ht="12" hidden="false" customHeight="true" outlineLevel="0" collapsed="false">
      <c r="A31" s="27"/>
      <c r="B31" s="27"/>
      <c r="C31" s="30" t="s">
        <v>113</v>
      </c>
      <c r="D31" s="30" t="s">
        <v>113</v>
      </c>
    </row>
    <row r="32" customFormat="false" ht="12" hidden="false" customHeight="true" outlineLevel="0" collapsed="false">
      <c r="A32" s="27"/>
      <c r="B32" s="27"/>
      <c r="C32" s="30" t="s">
        <v>114</v>
      </c>
      <c r="D32" s="30" t="s">
        <v>114</v>
      </c>
    </row>
    <row r="33" customFormat="false" ht="12" hidden="false" customHeight="true" outlineLevel="0" collapsed="false">
      <c r="A33" s="27"/>
      <c r="B33" s="27"/>
      <c r="C33" s="30" t="s">
        <v>115</v>
      </c>
      <c r="D33" s="30" t="s">
        <v>115</v>
      </c>
    </row>
    <row r="34" customFormat="false" ht="12" hidden="false" customHeight="true" outlineLevel="0" collapsed="false">
      <c r="A34" s="27"/>
      <c r="B34" s="27"/>
      <c r="C34" s="30" t="s">
        <v>116</v>
      </c>
      <c r="D34" s="30" t="s">
        <v>116</v>
      </c>
    </row>
    <row r="35" customFormat="false" ht="12" hidden="false" customHeight="true" outlineLevel="0" collapsed="false">
      <c r="A35" s="27"/>
      <c r="B35" s="27"/>
      <c r="C35" s="30" t="s">
        <v>117</v>
      </c>
      <c r="D35" s="30" t="s">
        <v>117</v>
      </c>
    </row>
    <row r="36" customFormat="false" ht="12" hidden="false" customHeight="true" outlineLevel="0" collapsed="false">
      <c r="A36" s="27"/>
      <c r="B36" s="27"/>
      <c r="C36" s="30" t="s">
        <v>118</v>
      </c>
      <c r="D36" s="30" t="s">
        <v>118</v>
      </c>
    </row>
    <row r="37" customFormat="false" ht="12" hidden="false" customHeight="true" outlineLevel="0" collapsed="false">
      <c r="A37" s="27"/>
      <c r="B37" s="27"/>
      <c r="C37" s="30" t="s">
        <v>119</v>
      </c>
      <c r="D37" s="30" t="s">
        <v>119</v>
      </c>
    </row>
    <row r="38" customFormat="false" ht="12" hidden="false" customHeight="true" outlineLevel="0" collapsed="false">
      <c r="A38" s="27"/>
      <c r="B38" s="27"/>
      <c r="C38" s="30" t="s">
        <v>120</v>
      </c>
      <c r="D38" s="30" t="s">
        <v>120</v>
      </c>
    </row>
    <row r="39" customFormat="false" ht="12" hidden="false" customHeight="true" outlineLevel="0" collapsed="false">
      <c r="A39" s="27"/>
      <c r="B39" s="27"/>
      <c r="C39" s="30" t="s">
        <v>121</v>
      </c>
      <c r="D39" s="30" t="s">
        <v>121</v>
      </c>
    </row>
    <row r="40" customFormat="false" ht="12" hidden="false" customHeight="true" outlineLevel="0" collapsed="false">
      <c r="A40" s="27"/>
      <c r="B40" s="27"/>
      <c r="C40" s="30" t="s">
        <v>122</v>
      </c>
      <c r="D40" s="30" t="s">
        <v>122</v>
      </c>
    </row>
    <row r="41" customFormat="false" ht="12" hidden="false" customHeight="true" outlineLevel="0" collapsed="false">
      <c r="A41" s="27"/>
      <c r="B41" s="27"/>
      <c r="C41" s="30" t="s">
        <v>123</v>
      </c>
      <c r="D41" s="30" t="s">
        <v>123</v>
      </c>
    </row>
    <row r="42" customFormat="false" ht="12" hidden="false" customHeight="true" outlineLevel="0" collapsed="false">
      <c r="A42" s="27"/>
      <c r="B42" s="27"/>
      <c r="C42" s="30" t="s">
        <v>124</v>
      </c>
      <c r="D42" s="30" t="s">
        <v>124</v>
      </c>
    </row>
    <row r="43" customFormat="false" ht="12" hidden="false" customHeight="true" outlineLevel="0" collapsed="false">
      <c r="A43" s="27"/>
      <c r="B43" s="27"/>
      <c r="C43" s="30" t="s">
        <v>125</v>
      </c>
      <c r="D43" s="30" t="s">
        <v>125</v>
      </c>
    </row>
    <row r="44" customFormat="false" ht="12" hidden="false" customHeight="true" outlineLevel="0" collapsed="false">
      <c r="A44" s="27"/>
      <c r="B44" s="27"/>
      <c r="C44" s="30" t="s">
        <v>126</v>
      </c>
      <c r="D44" s="30" t="s">
        <v>126</v>
      </c>
    </row>
    <row r="45" customFormat="false" ht="12" hidden="false" customHeight="true" outlineLevel="0" collapsed="false">
      <c r="A45" s="27"/>
      <c r="B45" s="27"/>
      <c r="C45" s="30" t="s">
        <v>127</v>
      </c>
      <c r="D45" s="30" t="s">
        <v>127</v>
      </c>
    </row>
    <row r="46" customFormat="false" ht="12" hidden="false" customHeight="true" outlineLevel="0" collapsed="false">
      <c r="A46" s="27"/>
      <c r="B46" s="27"/>
      <c r="C46" s="30" t="s">
        <v>128</v>
      </c>
      <c r="D46" s="30" t="s">
        <v>128</v>
      </c>
    </row>
    <row r="47" customFormat="false" ht="12" hidden="false" customHeight="true" outlineLevel="0" collapsed="false">
      <c r="A47" s="27"/>
      <c r="B47" s="27"/>
      <c r="C47" s="30" t="s">
        <v>129</v>
      </c>
      <c r="D47" s="30" t="s">
        <v>129</v>
      </c>
    </row>
    <row r="48" customFormat="false" ht="12" hidden="false" customHeight="true" outlineLevel="0" collapsed="false">
      <c r="A48" s="27"/>
      <c r="B48" s="27"/>
      <c r="C48" s="30" t="s">
        <v>130</v>
      </c>
      <c r="D48" s="30" t="s">
        <v>130</v>
      </c>
    </row>
    <row r="49" customFormat="false" ht="12" hidden="false" customHeight="true" outlineLevel="0" collapsed="false">
      <c r="A49" s="27"/>
      <c r="B49" s="27"/>
      <c r="C49" s="30" t="s">
        <v>131</v>
      </c>
      <c r="D49" s="30" t="s">
        <v>131</v>
      </c>
    </row>
    <row r="50" customFormat="false" ht="12" hidden="false" customHeight="true" outlineLevel="0" collapsed="false">
      <c r="A50" s="27"/>
      <c r="B50" s="27"/>
      <c r="C50" s="30" t="s">
        <v>132</v>
      </c>
      <c r="D50" s="30" t="s">
        <v>132</v>
      </c>
    </row>
    <row r="51" customFormat="false" ht="12" hidden="false" customHeight="true" outlineLevel="0" collapsed="false">
      <c r="A51" s="27"/>
      <c r="B51" s="27"/>
      <c r="C51" s="30" t="s">
        <v>133</v>
      </c>
      <c r="D51" s="30" t="s">
        <v>133</v>
      </c>
    </row>
    <row r="52" customFormat="false" ht="12" hidden="false" customHeight="true" outlineLevel="0" collapsed="false">
      <c r="A52" s="27"/>
      <c r="B52" s="27"/>
      <c r="C52" s="30" t="s">
        <v>134</v>
      </c>
      <c r="D52" s="30" t="s">
        <v>134</v>
      </c>
    </row>
    <row r="53" customFormat="false" ht="12" hidden="false" customHeight="true" outlineLevel="0" collapsed="false">
      <c r="A53" s="27"/>
      <c r="B53" s="27"/>
      <c r="C53" s="30" t="s">
        <v>135</v>
      </c>
      <c r="D53" s="30" t="s">
        <v>135</v>
      </c>
    </row>
    <row r="54" customFormat="false" ht="12" hidden="false" customHeight="true" outlineLevel="0" collapsed="false">
      <c r="A54" s="27"/>
      <c r="B54" s="27"/>
      <c r="C54" s="31" t="s">
        <v>136</v>
      </c>
      <c r="D54" s="32" t="s">
        <v>140</v>
      </c>
    </row>
    <row r="55" customFormat="false" ht="12" hidden="false" customHeight="true" outlineLevel="0" collapsed="false">
      <c r="A55" s="27"/>
      <c r="B55" s="27"/>
      <c r="C55" s="31" t="s">
        <v>137</v>
      </c>
      <c r="D55" s="32" t="s">
        <v>141</v>
      </c>
    </row>
    <row r="56" customFormat="false" ht="12" hidden="false" customHeight="true" outlineLevel="0" collapsed="false">
      <c r="A56" s="27"/>
      <c r="B56" s="27"/>
      <c r="C56" s="31" t="s">
        <v>138</v>
      </c>
      <c r="D56" s="32" t="s">
        <v>142</v>
      </c>
    </row>
    <row r="57" customFormat="false" ht="12" hidden="false" customHeight="true" outlineLevel="0" collapsed="false">
      <c r="A57" s="27"/>
      <c r="B57" s="27"/>
      <c r="C57" s="31" t="s">
        <v>139</v>
      </c>
      <c r="D57" s="32" t="s">
        <v>143</v>
      </c>
    </row>
    <row r="58" customFormat="false" ht="12" hidden="false" customHeight="true" outlineLevel="0" collapsed="false">
      <c r="A58" s="27"/>
      <c r="B58" s="27"/>
      <c r="C58" s="33"/>
      <c r="D58" s="34" t="s">
        <v>144</v>
      </c>
    </row>
    <row r="59" customFormat="false" ht="12" hidden="false" customHeight="true" outlineLevel="0" collapsed="false">
      <c r="A59" s="27" t="s">
        <v>55</v>
      </c>
      <c r="B59" s="28"/>
      <c r="C59" s="29" t="s">
        <v>145</v>
      </c>
      <c r="D59" s="29" t="s">
        <v>145</v>
      </c>
    </row>
    <row r="60" customFormat="false" ht="12" hidden="false" customHeight="true" outlineLevel="0" collapsed="false">
      <c r="A60" s="27"/>
      <c r="B60" s="27"/>
      <c r="C60" s="30" t="s">
        <v>146</v>
      </c>
      <c r="D60" s="30" t="s">
        <v>146</v>
      </c>
    </row>
    <row r="61" customFormat="false" ht="12" hidden="false" customHeight="true" outlineLevel="0" collapsed="false">
      <c r="A61" s="27"/>
      <c r="B61" s="27"/>
      <c r="C61" s="35" t="s">
        <v>147</v>
      </c>
      <c r="D61" s="35" t="s">
        <v>147</v>
      </c>
    </row>
    <row r="62" customFormat="false" ht="14.25" hidden="false" customHeight="true" outlineLevel="0" collapsed="false">
      <c r="A62" s="27" t="s">
        <v>57</v>
      </c>
      <c r="B62" s="28"/>
      <c r="C62" s="36" t="s">
        <v>58</v>
      </c>
      <c r="D62" s="36" t="s">
        <v>58</v>
      </c>
    </row>
    <row r="63" customFormat="false" ht="14.25" hidden="false" customHeight="true" outlineLevel="0" collapsed="false">
      <c r="A63" s="27" t="s">
        <v>59</v>
      </c>
      <c r="B63" s="28"/>
      <c r="C63" s="37"/>
      <c r="D63" s="37"/>
    </row>
    <row r="64" customFormat="false" ht="12" hidden="false" customHeight="true" outlineLevel="0" collapsed="false">
      <c r="A64" s="27" t="s">
        <v>60</v>
      </c>
      <c r="B64" s="28"/>
      <c r="C64" s="29" t="s">
        <v>148</v>
      </c>
      <c r="D64" s="29" t="s">
        <v>148</v>
      </c>
    </row>
    <row r="65" customFormat="false" ht="12" hidden="false" customHeight="true" outlineLevel="0" collapsed="false">
      <c r="A65" s="27"/>
      <c r="B65" s="27"/>
      <c r="C65" s="30" t="s">
        <v>149</v>
      </c>
      <c r="D65" s="30" t="s">
        <v>149</v>
      </c>
    </row>
    <row r="66" customFormat="false" ht="12" hidden="false" customHeight="true" outlineLevel="0" collapsed="false">
      <c r="A66" s="27"/>
      <c r="B66" s="27"/>
      <c r="C66" s="30" t="s">
        <v>150</v>
      </c>
      <c r="D66" s="30" t="s">
        <v>150</v>
      </c>
    </row>
    <row r="67" customFormat="false" ht="12" hidden="false" customHeight="true" outlineLevel="0" collapsed="false">
      <c r="A67" s="27"/>
      <c r="B67" s="27"/>
      <c r="C67" s="35" t="s">
        <v>151</v>
      </c>
      <c r="D67" s="35" t="s">
        <v>151</v>
      </c>
    </row>
    <row r="68" customFormat="false" ht="14.25" hidden="false" customHeight="true" outlineLevel="0" collapsed="false">
      <c r="A68" s="27" t="s">
        <v>62</v>
      </c>
      <c r="B68" s="28"/>
      <c r="C68" s="36" t="s">
        <v>63</v>
      </c>
      <c r="D68" s="36" t="s">
        <v>63</v>
      </c>
    </row>
    <row r="69" customFormat="false" ht="12" hidden="false" customHeight="true" outlineLevel="0" collapsed="false">
      <c r="A69" s="27" t="s">
        <v>64</v>
      </c>
      <c r="B69" s="28"/>
      <c r="C69" s="29" t="s">
        <v>152</v>
      </c>
      <c r="D69" s="29" t="s">
        <v>152</v>
      </c>
    </row>
    <row r="70" customFormat="false" ht="12" hidden="false" customHeight="true" outlineLevel="0" collapsed="false">
      <c r="A70" s="27"/>
      <c r="B70" s="27"/>
      <c r="C70" s="30" t="s">
        <v>153</v>
      </c>
      <c r="D70" s="30" t="s">
        <v>153</v>
      </c>
    </row>
    <row r="71" customFormat="false" ht="12" hidden="false" customHeight="true" outlineLevel="0" collapsed="false">
      <c r="A71" s="27"/>
      <c r="B71" s="27"/>
      <c r="C71" s="30" t="s">
        <v>154</v>
      </c>
      <c r="D71" s="30" t="s">
        <v>154</v>
      </c>
    </row>
    <row r="72" customFormat="false" ht="12" hidden="false" customHeight="true" outlineLevel="0" collapsed="false">
      <c r="A72" s="27"/>
      <c r="B72" s="27"/>
      <c r="C72" s="30" t="s">
        <v>155</v>
      </c>
      <c r="D72" s="30" t="s">
        <v>155</v>
      </c>
    </row>
    <row r="73" customFormat="false" ht="12" hidden="false" customHeight="true" outlineLevel="0" collapsed="false">
      <c r="A73" s="27"/>
      <c r="B73" s="27"/>
      <c r="C73" s="30" t="s">
        <v>156</v>
      </c>
      <c r="D73" s="30" t="s">
        <v>156</v>
      </c>
    </row>
    <row r="74" customFormat="false" ht="12" hidden="false" customHeight="true" outlineLevel="0" collapsed="false">
      <c r="A74" s="27"/>
      <c r="B74" s="27"/>
      <c r="C74" s="30" t="s">
        <v>157</v>
      </c>
      <c r="D74" s="30" t="s">
        <v>157</v>
      </c>
    </row>
    <row r="75" customFormat="false" ht="12" hidden="false" customHeight="true" outlineLevel="0" collapsed="false">
      <c r="A75" s="27"/>
      <c r="B75" s="27"/>
      <c r="C75" s="30" t="s">
        <v>158</v>
      </c>
      <c r="D75" s="30" t="s">
        <v>158</v>
      </c>
    </row>
    <row r="76" customFormat="false" ht="12" hidden="false" customHeight="true" outlineLevel="0" collapsed="false">
      <c r="A76" s="27"/>
      <c r="B76" s="27"/>
      <c r="C76" s="30" t="s">
        <v>159</v>
      </c>
      <c r="D76" s="30" t="s">
        <v>159</v>
      </c>
    </row>
    <row r="77" customFormat="false" ht="12" hidden="false" customHeight="true" outlineLevel="0" collapsed="false">
      <c r="A77" s="27"/>
      <c r="B77" s="27"/>
      <c r="C77" s="30" t="s">
        <v>160</v>
      </c>
      <c r="D77" s="30" t="s">
        <v>160</v>
      </c>
    </row>
    <row r="78" customFormat="false" ht="12" hidden="false" customHeight="true" outlineLevel="0" collapsed="false">
      <c r="A78" s="27"/>
      <c r="B78" s="27"/>
      <c r="C78" s="30" t="s">
        <v>161</v>
      </c>
      <c r="D78" s="30" t="s">
        <v>161</v>
      </c>
    </row>
    <row r="79" customFormat="false" ht="12" hidden="false" customHeight="true" outlineLevel="0" collapsed="false">
      <c r="A79" s="27"/>
      <c r="B79" s="27"/>
      <c r="C79" s="30" t="s">
        <v>162</v>
      </c>
      <c r="D79" s="30" t="s">
        <v>162</v>
      </c>
    </row>
    <row r="80" customFormat="false" ht="12" hidden="false" customHeight="true" outlineLevel="0" collapsed="false">
      <c r="A80" s="27"/>
      <c r="B80" s="27"/>
      <c r="C80" s="30" t="s">
        <v>163</v>
      </c>
      <c r="D80" s="30" t="s">
        <v>163</v>
      </c>
    </row>
    <row r="81" customFormat="false" ht="12" hidden="false" customHeight="true" outlineLevel="0" collapsed="false">
      <c r="A81" s="27"/>
      <c r="B81" s="27"/>
      <c r="C81" s="30" t="s">
        <v>164</v>
      </c>
      <c r="D81" s="30" t="s">
        <v>164</v>
      </c>
    </row>
    <row r="82" customFormat="false" ht="12" hidden="false" customHeight="true" outlineLevel="0" collapsed="false">
      <c r="A82" s="27"/>
      <c r="B82" s="27"/>
      <c r="C82" s="30" t="s">
        <v>165</v>
      </c>
      <c r="D82" s="30" t="s">
        <v>165</v>
      </c>
    </row>
    <row r="83" customFormat="false" ht="12" hidden="false" customHeight="true" outlineLevel="0" collapsed="false">
      <c r="A83" s="27"/>
      <c r="B83" s="27"/>
      <c r="C83" s="30" t="s">
        <v>166</v>
      </c>
      <c r="D83" s="30" t="s">
        <v>166</v>
      </c>
    </row>
    <row r="84" customFormat="false" ht="12" hidden="false" customHeight="true" outlineLevel="0" collapsed="false">
      <c r="A84" s="27"/>
      <c r="B84" s="27"/>
      <c r="C84" s="30" t="s">
        <v>167</v>
      </c>
      <c r="D84" s="30" t="s">
        <v>167</v>
      </c>
    </row>
    <row r="85" customFormat="false" ht="12" hidden="false" customHeight="true" outlineLevel="0" collapsed="false">
      <c r="A85" s="27"/>
      <c r="B85" s="27"/>
      <c r="C85" s="30" t="s">
        <v>168</v>
      </c>
      <c r="D85" s="30" t="s">
        <v>168</v>
      </c>
    </row>
    <row r="86" customFormat="false" ht="12" hidden="false" customHeight="true" outlineLevel="0" collapsed="false">
      <c r="A86" s="27"/>
      <c r="B86" s="27"/>
      <c r="C86" s="38"/>
      <c r="D86" s="32" t="s">
        <v>169</v>
      </c>
    </row>
    <row r="87" customFormat="false" ht="12" hidden="false" customHeight="true" outlineLevel="0" collapsed="false">
      <c r="A87" s="27"/>
      <c r="B87" s="27"/>
      <c r="C87" s="33"/>
      <c r="D87" s="34" t="s">
        <v>170</v>
      </c>
    </row>
    <row r="88" customFormat="false" ht="12" hidden="false" customHeight="true" outlineLevel="0" collapsed="false">
      <c r="A88" s="27" t="s">
        <v>66</v>
      </c>
      <c r="B88" s="28"/>
      <c r="C88" s="29" t="s">
        <v>171</v>
      </c>
      <c r="D88" s="29" t="s">
        <v>171</v>
      </c>
    </row>
    <row r="89" customFormat="false" ht="12" hidden="false" customHeight="true" outlineLevel="0" collapsed="false">
      <c r="A89" s="27"/>
      <c r="B89" s="27"/>
      <c r="C89" s="39" t="s">
        <v>172</v>
      </c>
      <c r="D89" s="39" t="s">
        <v>173</v>
      </c>
    </row>
    <row r="90" customFormat="false" ht="12" hidden="false" customHeight="true" outlineLevel="0" collapsed="false">
      <c r="A90" s="27"/>
      <c r="B90" s="27"/>
      <c r="C90" s="39" t="s">
        <v>175</v>
      </c>
      <c r="D90" s="39" t="s">
        <v>176</v>
      </c>
    </row>
    <row r="91" customFormat="false" ht="12" hidden="false" customHeight="true" outlineLevel="0" collapsed="false">
      <c r="A91" s="27"/>
      <c r="B91" s="27"/>
      <c r="C91" s="39" t="s">
        <v>177</v>
      </c>
      <c r="D91" s="39" t="s">
        <v>178</v>
      </c>
    </row>
    <row r="92" customFormat="false" ht="12" hidden="false" customHeight="true" outlineLevel="0" collapsed="false">
      <c r="A92" s="27"/>
      <c r="B92" s="27"/>
      <c r="C92" s="39" t="s">
        <v>179</v>
      </c>
      <c r="D92" s="39" t="s">
        <v>180</v>
      </c>
    </row>
    <row r="93" customFormat="false" ht="12" hidden="false" customHeight="true" outlineLevel="0" collapsed="false">
      <c r="A93" s="27"/>
      <c r="B93" s="27"/>
      <c r="C93" s="39" t="s">
        <v>181</v>
      </c>
      <c r="D93" s="39" t="s">
        <v>182</v>
      </c>
    </row>
    <row r="94" customFormat="false" ht="12" hidden="false" customHeight="true" outlineLevel="0" collapsed="false">
      <c r="A94" s="27"/>
      <c r="B94" s="27"/>
      <c r="C94" s="31" t="s">
        <v>183</v>
      </c>
      <c r="D94" s="38"/>
    </row>
    <row r="95" customFormat="false" ht="12" hidden="false" customHeight="true" outlineLevel="0" collapsed="false">
      <c r="A95" s="27"/>
      <c r="B95" s="27"/>
      <c r="C95" s="31" t="s">
        <v>184</v>
      </c>
      <c r="D95" s="38"/>
    </row>
    <row r="96" customFormat="false" ht="12" hidden="false" customHeight="true" outlineLevel="0" collapsed="false">
      <c r="A96" s="27"/>
      <c r="B96" s="27"/>
      <c r="C96" s="31" t="s">
        <v>185</v>
      </c>
      <c r="D96" s="38"/>
    </row>
    <row r="97" customFormat="false" ht="12" hidden="false" customHeight="true" outlineLevel="0" collapsed="false">
      <c r="A97" s="27"/>
      <c r="B97" s="27"/>
      <c r="C97" s="31" t="s">
        <v>186</v>
      </c>
      <c r="D97" s="38"/>
    </row>
    <row r="98" customFormat="false" ht="12" hidden="false" customHeight="true" outlineLevel="0" collapsed="false">
      <c r="A98" s="27"/>
      <c r="B98" s="27"/>
      <c r="C98" s="31" t="s">
        <v>187</v>
      </c>
      <c r="D98" s="38"/>
    </row>
    <row r="99" customFormat="false" ht="12" hidden="false" customHeight="true" outlineLevel="0" collapsed="false">
      <c r="A99" s="27"/>
      <c r="B99" s="27"/>
      <c r="C99" s="31" t="s">
        <v>188</v>
      </c>
      <c r="D99" s="38"/>
    </row>
    <row r="100" customFormat="false" ht="12" hidden="false" customHeight="true" outlineLevel="0" collapsed="false">
      <c r="A100" s="27"/>
      <c r="B100" s="27"/>
      <c r="C100" s="31" t="s">
        <v>189</v>
      </c>
      <c r="D100" s="38"/>
    </row>
    <row r="101" customFormat="false" ht="12" hidden="false" customHeight="true" outlineLevel="0" collapsed="false">
      <c r="A101" s="27"/>
      <c r="B101" s="27"/>
      <c r="C101" s="31" t="s">
        <v>190</v>
      </c>
      <c r="D101" s="38"/>
    </row>
    <row r="102" customFormat="false" ht="12" hidden="false" customHeight="true" outlineLevel="0" collapsed="false">
      <c r="A102" s="27"/>
      <c r="B102" s="27"/>
      <c r="C102" s="31" t="s">
        <v>191</v>
      </c>
      <c r="D102" s="38"/>
    </row>
    <row r="103" customFormat="false" ht="12" hidden="false" customHeight="true" outlineLevel="0" collapsed="false">
      <c r="A103" s="27"/>
      <c r="B103" s="27"/>
      <c r="C103" s="31" t="s">
        <v>192</v>
      </c>
      <c r="D103" s="38"/>
    </row>
    <row r="104" customFormat="false" ht="12" hidden="false" customHeight="true" outlineLevel="0" collapsed="false">
      <c r="A104" s="27"/>
      <c r="B104" s="27"/>
      <c r="C104" s="40" t="s">
        <v>193</v>
      </c>
      <c r="D104" s="33"/>
    </row>
    <row r="105" customFormat="false" ht="12" hidden="false" customHeight="true" outlineLevel="0" collapsed="false">
      <c r="A105" s="27" t="s">
        <v>68</v>
      </c>
      <c r="B105" s="28"/>
      <c r="C105" s="29" t="s">
        <v>194</v>
      </c>
      <c r="D105" s="29" t="s">
        <v>194</v>
      </c>
    </row>
    <row r="106" customFormat="false" ht="12" hidden="false" customHeight="true" outlineLevel="0" collapsed="false">
      <c r="A106" s="27"/>
      <c r="B106" s="27"/>
      <c r="C106" s="39" t="s">
        <v>195</v>
      </c>
      <c r="D106" s="39" t="s">
        <v>196</v>
      </c>
    </row>
    <row r="107" customFormat="false" ht="12" hidden="false" customHeight="true" outlineLevel="0" collapsed="false">
      <c r="A107" s="27"/>
      <c r="B107" s="27"/>
      <c r="C107" s="30" t="s">
        <v>197</v>
      </c>
      <c r="D107" s="30" t="s">
        <v>197</v>
      </c>
    </row>
    <row r="108" customFormat="false" ht="12" hidden="false" customHeight="true" outlineLevel="0" collapsed="false">
      <c r="A108" s="27"/>
      <c r="B108" s="27"/>
      <c r="C108" s="30" t="s">
        <v>198</v>
      </c>
      <c r="D108" s="30" t="s">
        <v>198</v>
      </c>
    </row>
    <row r="109" customFormat="false" ht="12" hidden="false" customHeight="true" outlineLevel="0" collapsed="false">
      <c r="A109" s="27"/>
      <c r="B109" s="27"/>
      <c r="C109" s="30" t="s">
        <v>199</v>
      </c>
      <c r="D109" s="30" t="s">
        <v>199</v>
      </c>
    </row>
    <row r="110" customFormat="false" ht="12" hidden="false" customHeight="true" outlineLevel="0" collapsed="false">
      <c r="A110" s="27"/>
      <c r="B110" s="27"/>
      <c r="C110" s="30" t="s">
        <v>200</v>
      </c>
      <c r="D110" s="30" t="s">
        <v>200</v>
      </c>
    </row>
    <row r="111" customFormat="false" ht="12" hidden="false" customHeight="true" outlineLevel="0" collapsed="false">
      <c r="A111" s="27"/>
      <c r="B111" s="27"/>
      <c r="C111" s="30" t="s">
        <v>201</v>
      </c>
      <c r="D111" s="30" t="s">
        <v>201</v>
      </c>
    </row>
    <row r="112" customFormat="false" ht="12" hidden="false" customHeight="true" outlineLevel="0" collapsed="false">
      <c r="A112" s="27"/>
      <c r="B112" s="27"/>
      <c r="C112" s="30" t="s">
        <v>202</v>
      </c>
      <c r="D112" s="30" t="s">
        <v>202</v>
      </c>
    </row>
    <row r="113" customFormat="false" ht="12" hidden="false" customHeight="true" outlineLevel="0" collapsed="false">
      <c r="A113" s="27"/>
      <c r="B113" s="27"/>
      <c r="C113" s="30" t="s">
        <v>203</v>
      </c>
      <c r="D113" s="30" t="s">
        <v>203</v>
      </c>
    </row>
    <row r="114" customFormat="false" ht="12" hidden="false" customHeight="true" outlineLevel="0" collapsed="false">
      <c r="A114" s="27"/>
      <c r="B114" s="27"/>
      <c r="C114" s="39" t="s">
        <v>204</v>
      </c>
      <c r="D114" s="39" t="s">
        <v>205</v>
      </c>
    </row>
    <row r="115" customFormat="false" ht="12" hidden="false" customHeight="true" outlineLevel="0" collapsed="false">
      <c r="A115" s="27"/>
      <c r="B115" s="27"/>
      <c r="C115" s="30" t="s">
        <v>206</v>
      </c>
      <c r="D115" s="30" t="s">
        <v>206</v>
      </c>
    </row>
    <row r="116" customFormat="false" ht="12" hidden="false" customHeight="true" outlineLevel="0" collapsed="false">
      <c r="A116" s="27"/>
      <c r="B116" s="27"/>
      <c r="C116" s="30" t="s">
        <v>207</v>
      </c>
      <c r="D116" s="30" t="s">
        <v>207</v>
      </c>
    </row>
    <row r="117" customFormat="false" ht="12" hidden="false" customHeight="true" outlineLevel="0" collapsed="false">
      <c r="A117" s="27"/>
      <c r="B117" s="27"/>
      <c r="C117" s="30" t="s">
        <v>208</v>
      </c>
      <c r="D117" s="30" t="s">
        <v>208</v>
      </c>
    </row>
    <row r="118" customFormat="false" ht="12" hidden="false" customHeight="true" outlineLevel="0" collapsed="false">
      <c r="A118" s="27"/>
      <c r="B118" s="27"/>
      <c r="C118" s="39" t="s">
        <v>209</v>
      </c>
      <c r="D118" s="39" t="s">
        <v>210</v>
      </c>
    </row>
    <row r="119" customFormat="false" ht="12" hidden="false" customHeight="true" outlineLevel="0" collapsed="false">
      <c r="A119" s="27"/>
      <c r="B119" s="27"/>
      <c r="C119" s="31" t="s">
        <v>211</v>
      </c>
      <c r="D119" s="32" t="s">
        <v>218</v>
      </c>
    </row>
    <row r="120" customFormat="false" ht="12" hidden="false" customHeight="true" outlineLevel="0" collapsed="false">
      <c r="A120" s="27"/>
      <c r="B120" s="27"/>
      <c r="C120" s="31" t="s">
        <v>212</v>
      </c>
      <c r="D120" s="32" t="s">
        <v>219</v>
      </c>
    </row>
    <row r="121" customFormat="false" ht="12" hidden="false" customHeight="true" outlineLevel="0" collapsed="false">
      <c r="A121" s="27"/>
      <c r="B121" s="27"/>
      <c r="C121" s="31" t="s">
        <v>213</v>
      </c>
      <c r="D121" s="32" t="s">
        <v>220</v>
      </c>
    </row>
    <row r="122" customFormat="false" ht="12" hidden="false" customHeight="true" outlineLevel="0" collapsed="false">
      <c r="A122" s="27"/>
      <c r="B122" s="27"/>
      <c r="C122" s="31" t="s">
        <v>214</v>
      </c>
      <c r="D122" s="38"/>
    </row>
    <row r="123" customFormat="false" ht="12" hidden="false" customHeight="true" outlineLevel="0" collapsed="false">
      <c r="A123" s="27"/>
      <c r="B123" s="27"/>
      <c r="C123" s="31" t="s">
        <v>215</v>
      </c>
      <c r="D123" s="38"/>
    </row>
    <row r="124" customFormat="false" ht="12" hidden="false" customHeight="true" outlineLevel="0" collapsed="false">
      <c r="A124" s="27"/>
      <c r="B124" s="27"/>
      <c r="C124" s="31" t="s">
        <v>216</v>
      </c>
      <c r="D124" s="38"/>
    </row>
    <row r="125" customFormat="false" ht="12" hidden="false" customHeight="true" outlineLevel="0" collapsed="false">
      <c r="A125" s="27"/>
      <c r="B125" s="27"/>
      <c r="C125" s="40" t="s">
        <v>217</v>
      </c>
      <c r="D125" s="33"/>
    </row>
    <row r="126" customFormat="false" ht="12" hidden="false" customHeight="true" outlineLevel="0" collapsed="false">
      <c r="A126" s="27" t="s">
        <v>70</v>
      </c>
      <c r="B126" s="28"/>
      <c r="C126" s="29" t="s">
        <v>221</v>
      </c>
      <c r="D126" s="29" t="s">
        <v>221</v>
      </c>
    </row>
    <row r="127" customFormat="false" ht="12" hidden="false" customHeight="true" outlineLevel="0" collapsed="false">
      <c r="A127" s="27"/>
      <c r="B127" s="27"/>
      <c r="C127" s="30" t="s">
        <v>222</v>
      </c>
      <c r="D127" s="30" t="s">
        <v>222</v>
      </c>
    </row>
    <row r="128" customFormat="false" ht="12" hidden="false" customHeight="true" outlineLevel="0" collapsed="false">
      <c r="A128" s="27"/>
      <c r="B128" s="27"/>
      <c r="C128" s="35" t="s">
        <v>223</v>
      </c>
      <c r="D128" s="35" t="s">
        <v>223</v>
      </c>
    </row>
    <row r="129" customFormat="false" ht="12" hidden="false" customHeight="true" outlineLevel="0" collapsed="false">
      <c r="A129" s="27" t="s">
        <v>72</v>
      </c>
      <c r="B129" s="28"/>
      <c r="C129" s="29" t="s">
        <v>224</v>
      </c>
      <c r="D129" s="29" t="s">
        <v>224</v>
      </c>
    </row>
    <row r="130" customFormat="false" ht="12" hidden="false" customHeight="true" outlineLevel="0" collapsed="false">
      <c r="A130" s="27"/>
      <c r="B130" s="27"/>
      <c r="C130" s="30" t="s">
        <v>225</v>
      </c>
      <c r="D130" s="30" t="s">
        <v>225</v>
      </c>
    </row>
    <row r="131" customFormat="false" ht="12" hidden="false" customHeight="true" outlineLevel="0" collapsed="false">
      <c r="A131" s="27"/>
      <c r="B131" s="27"/>
      <c r="C131" s="30" t="s">
        <v>226</v>
      </c>
      <c r="D131" s="30" t="s">
        <v>226</v>
      </c>
    </row>
    <row r="132" customFormat="false" ht="12" hidden="false" customHeight="true" outlineLevel="0" collapsed="false">
      <c r="A132" s="27"/>
      <c r="B132" s="27"/>
      <c r="C132" s="30" t="s">
        <v>227</v>
      </c>
      <c r="D132" s="30" t="s">
        <v>227</v>
      </c>
    </row>
    <row r="133" customFormat="false" ht="12" hidden="false" customHeight="true" outlineLevel="0" collapsed="false">
      <c r="A133" s="27"/>
      <c r="B133" s="27"/>
      <c r="C133" s="30" t="s">
        <v>228</v>
      </c>
      <c r="D133" s="30" t="s">
        <v>228</v>
      </c>
    </row>
    <row r="134" customFormat="false" ht="12" hidden="false" customHeight="true" outlineLevel="0" collapsed="false">
      <c r="A134" s="27"/>
      <c r="B134" s="27"/>
      <c r="C134" s="30" t="s">
        <v>229</v>
      </c>
      <c r="D134" s="30" t="s">
        <v>229</v>
      </c>
    </row>
    <row r="135" customFormat="false" ht="12" hidden="false" customHeight="true" outlineLevel="0" collapsed="false">
      <c r="A135" s="27"/>
      <c r="B135" s="27"/>
      <c r="C135" s="30" t="s">
        <v>230</v>
      </c>
      <c r="D135" s="30" t="s">
        <v>230</v>
      </c>
    </row>
    <row r="136" customFormat="false" ht="12" hidden="false" customHeight="true" outlineLevel="0" collapsed="false">
      <c r="A136" s="27"/>
      <c r="B136" s="27"/>
      <c r="C136" s="30" t="s">
        <v>231</v>
      </c>
      <c r="D136" s="30" t="s">
        <v>231</v>
      </c>
    </row>
    <row r="137" customFormat="false" ht="12" hidden="false" customHeight="true" outlineLevel="0" collapsed="false">
      <c r="A137" s="27"/>
      <c r="B137" s="27"/>
      <c r="C137" s="40" t="s">
        <v>232</v>
      </c>
      <c r="D137" s="33"/>
    </row>
    <row r="138" customFormat="false" ht="12" hidden="false" customHeight="true" outlineLevel="0" collapsed="false">
      <c r="A138" s="27" t="s">
        <v>74</v>
      </c>
      <c r="B138" s="28"/>
      <c r="C138" s="29" t="s">
        <v>233</v>
      </c>
      <c r="D138" s="29" t="s">
        <v>233</v>
      </c>
    </row>
    <row r="139" customFormat="false" ht="12" hidden="false" customHeight="true" outlineLevel="0" collapsed="false">
      <c r="A139" s="27"/>
      <c r="B139" s="27"/>
      <c r="C139" s="30" t="s">
        <v>234</v>
      </c>
      <c r="D139" s="30" t="s">
        <v>234</v>
      </c>
    </row>
    <row r="140" customFormat="false" ht="12" hidden="false" customHeight="true" outlineLevel="0" collapsed="false">
      <c r="A140" s="27"/>
      <c r="B140" s="27"/>
      <c r="C140" s="31" t="s">
        <v>235</v>
      </c>
      <c r="D140" s="38"/>
    </row>
    <row r="141" customFormat="false" ht="12" hidden="false" customHeight="true" outlineLevel="0" collapsed="false">
      <c r="A141" s="27"/>
      <c r="B141" s="27"/>
      <c r="C141" s="40" t="s">
        <v>236</v>
      </c>
      <c r="D141" s="33"/>
    </row>
    <row r="142" customFormat="false" ht="12" hidden="false" customHeight="true" outlineLevel="0" collapsed="false">
      <c r="A142" s="27" t="s">
        <v>76</v>
      </c>
      <c r="B142" s="28"/>
      <c r="C142" s="29" t="s">
        <v>237</v>
      </c>
      <c r="D142" s="29" t="s">
        <v>237</v>
      </c>
    </row>
    <row r="143" customFormat="false" ht="12" hidden="false" customHeight="true" outlineLevel="0" collapsed="false">
      <c r="A143" s="27"/>
      <c r="B143" s="27"/>
      <c r="C143" s="30" t="s">
        <v>238</v>
      </c>
      <c r="D143" s="30" t="s">
        <v>238</v>
      </c>
    </row>
    <row r="144" customFormat="false" ht="12" hidden="false" customHeight="true" outlineLevel="0" collapsed="false">
      <c r="A144" s="27"/>
      <c r="B144" s="27"/>
      <c r="C144" s="30" t="s">
        <v>239</v>
      </c>
      <c r="D144" s="30" t="s">
        <v>239</v>
      </c>
    </row>
    <row r="145" customFormat="false" ht="12" hidden="false" customHeight="true" outlineLevel="0" collapsed="false">
      <c r="A145" s="27"/>
      <c r="B145" s="27"/>
      <c r="C145" s="30" t="s">
        <v>240</v>
      </c>
      <c r="D145" s="30" t="s">
        <v>240</v>
      </c>
    </row>
    <row r="146" customFormat="false" ht="12" hidden="false" customHeight="true" outlineLevel="0" collapsed="false">
      <c r="A146" s="27"/>
      <c r="B146" s="27"/>
      <c r="C146" s="30" t="s">
        <v>241</v>
      </c>
      <c r="D146" s="30" t="s">
        <v>241</v>
      </c>
    </row>
    <row r="147" customFormat="false" ht="12" hidden="false" customHeight="true" outlineLevel="0" collapsed="false">
      <c r="A147" s="27"/>
      <c r="B147" s="27"/>
      <c r="C147" s="30" t="s">
        <v>242</v>
      </c>
      <c r="D147" s="30" t="s">
        <v>242</v>
      </c>
    </row>
    <row r="148" customFormat="false" ht="12" hidden="false" customHeight="true" outlineLevel="0" collapsed="false">
      <c r="A148" s="27"/>
      <c r="B148" s="27"/>
      <c r="C148" s="30" t="s">
        <v>243</v>
      </c>
      <c r="D148" s="30" t="s">
        <v>243</v>
      </c>
    </row>
    <row r="149" customFormat="false" ht="12" hidden="false" customHeight="true" outlineLevel="0" collapsed="false">
      <c r="A149" s="27"/>
      <c r="B149" s="27"/>
      <c r="C149" s="30" t="s">
        <v>244</v>
      </c>
      <c r="D149" s="30" t="s">
        <v>244</v>
      </c>
    </row>
    <row r="150" customFormat="false" ht="12" hidden="false" customHeight="true" outlineLevel="0" collapsed="false">
      <c r="A150" s="27"/>
      <c r="B150" s="27"/>
      <c r="C150" s="30" t="s">
        <v>245</v>
      </c>
      <c r="D150" s="30" t="s">
        <v>245</v>
      </c>
    </row>
    <row r="151" customFormat="false" ht="12" hidden="false" customHeight="true" outlineLevel="0" collapsed="false">
      <c r="A151" s="27"/>
      <c r="B151" s="27"/>
      <c r="C151" s="30" t="s">
        <v>246</v>
      </c>
      <c r="D151" s="30" t="s">
        <v>246</v>
      </c>
    </row>
    <row r="152" customFormat="false" ht="12" hidden="false" customHeight="true" outlineLevel="0" collapsed="false">
      <c r="A152" s="27"/>
      <c r="B152" s="27"/>
      <c r="C152" s="30" t="s">
        <v>247</v>
      </c>
      <c r="D152" s="30" t="s">
        <v>247</v>
      </c>
    </row>
    <row r="153" customFormat="false" ht="12" hidden="false" customHeight="true" outlineLevel="0" collapsed="false">
      <c r="A153" s="27"/>
      <c r="B153" s="27"/>
      <c r="C153" s="35" t="s">
        <v>248</v>
      </c>
      <c r="D153" s="35" t="s">
        <v>248</v>
      </c>
    </row>
    <row r="154" customFormat="false" ht="12" hidden="false" customHeight="true" outlineLevel="0" collapsed="false">
      <c r="A154" s="27" t="s">
        <v>78</v>
      </c>
      <c r="B154" s="28"/>
      <c r="C154" s="29" t="s">
        <v>249</v>
      </c>
      <c r="D154" s="29" t="s">
        <v>249</v>
      </c>
    </row>
    <row r="155" customFormat="false" ht="12" hidden="false" customHeight="true" outlineLevel="0" collapsed="false">
      <c r="A155" s="27"/>
      <c r="B155" s="27"/>
      <c r="C155" s="30" t="s">
        <v>250</v>
      </c>
      <c r="D155" s="30" t="s">
        <v>250</v>
      </c>
    </row>
    <row r="156" customFormat="false" ht="12" hidden="false" customHeight="true" outlineLevel="0" collapsed="false">
      <c r="A156" s="27"/>
      <c r="B156" s="27"/>
      <c r="C156" s="35" t="s">
        <v>251</v>
      </c>
      <c r="D156" s="35" t="s">
        <v>251</v>
      </c>
    </row>
    <row r="157" customFormat="false" ht="12" hidden="false" customHeight="true" outlineLevel="0" collapsed="false">
      <c r="A157" s="27" t="s">
        <v>80</v>
      </c>
      <c r="B157" s="28"/>
      <c r="C157" s="29" t="s">
        <v>252</v>
      </c>
      <c r="D157" s="29" t="s">
        <v>252</v>
      </c>
    </row>
    <row r="158" customFormat="false" ht="12" hidden="false" customHeight="true" outlineLevel="0" collapsed="false">
      <c r="A158" s="27"/>
      <c r="B158" s="27"/>
      <c r="C158" s="30" t="s">
        <v>253</v>
      </c>
      <c r="D158" s="30" t="s">
        <v>253</v>
      </c>
    </row>
    <row r="159" customFormat="false" ht="12" hidden="false" customHeight="true" outlineLevel="0" collapsed="false">
      <c r="A159" s="27"/>
      <c r="B159" s="27"/>
      <c r="C159" s="31" t="s">
        <v>254</v>
      </c>
      <c r="D159" s="32" t="s">
        <v>257</v>
      </c>
    </row>
    <row r="160" customFormat="false" ht="12" hidden="false" customHeight="true" outlineLevel="0" collapsed="false">
      <c r="A160" s="27"/>
      <c r="B160" s="27"/>
      <c r="C160" s="31" t="s">
        <v>255</v>
      </c>
      <c r="D160" s="32" t="s">
        <v>258</v>
      </c>
    </row>
    <row r="161" customFormat="false" ht="12" hidden="false" customHeight="true" outlineLevel="0" collapsed="false">
      <c r="A161" s="27"/>
      <c r="B161" s="27"/>
      <c r="C161" s="40" t="s">
        <v>256</v>
      </c>
      <c r="D161" s="33"/>
    </row>
  </sheetData>
  <mergeCells count="26">
    <mergeCell ref="A2:B2"/>
    <mergeCell ref="C2:D2"/>
    <mergeCell ref="A4:A58"/>
    <mergeCell ref="B4:B58"/>
    <mergeCell ref="A59:A61"/>
    <mergeCell ref="B59:B61"/>
    <mergeCell ref="A64:A67"/>
    <mergeCell ref="B64:B67"/>
    <mergeCell ref="A69:A87"/>
    <mergeCell ref="B69:B87"/>
    <mergeCell ref="A88:A104"/>
    <mergeCell ref="B88:B104"/>
    <mergeCell ref="A105:A125"/>
    <mergeCell ref="B105:B125"/>
    <mergeCell ref="A126:A128"/>
    <mergeCell ref="B126:B128"/>
    <mergeCell ref="A129:A137"/>
    <mergeCell ref="B129:B137"/>
    <mergeCell ref="A138:A141"/>
    <mergeCell ref="B138:B141"/>
    <mergeCell ref="A142:A153"/>
    <mergeCell ref="B142:B153"/>
    <mergeCell ref="A154:A156"/>
    <mergeCell ref="B154:B156"/>
    <mergeCell ref="A157:A161"/>
    <mergeCell ref="B157:B161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– pagina &amp;P van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2026-09-22T09:13:40Z</dcterms:created>
  <dc:creator>openpyxl</dc:creator>
  <dc:description/>
  <dc:language>en-US</dc:language>
  <cp:lastModifiedBy/>
  <dcterms:modified xsi:type="dcterms:W3CDTF">2026-09-22T09:13:40Z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